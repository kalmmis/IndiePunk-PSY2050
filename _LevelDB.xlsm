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-108" yWindow="-108" windowWidth="23256" windowHeight="13176"/>
  </bookViews>
  <sheets>
    <sheet name="level1" sheetId="1" r:id="rId1"/>
    <sheet name="level2" sheetId="2" r:id="rId2"/>
    <sheet name="level3" sheetId="3" r:id="rId3"/>
    <sheet name="_level1" sheetId="5" r:id="rId4"/>
    <sheet name="_level1 Saving20191013" sheetId="6" r:id="rId5"/>
  </sheets>
  <functionGroups builtInGroupCount="17"/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96" i="1" l="1"/>
  <c r="J95" i="1"/>
  <c r="H95" i="1"/>
  <c r="F95" i="1"/>
  <c r="J94" i="1"/>
  <c r="H94" i="1"/>
  <c r="F94" i="1"/>
  <c r="D94" i="1"/>
  <c r="B94" i="1"/>
  <c r="J93" i="1"/>
  <c r="H93" i="1"/>
  <c r="F93" i="1"/>
  <c r="D93" i="1"/>
  <c r="B93" i="1"/>
  <c r="J92" i="1"/>
  <c r="H92" i="1"/>
  <c r="F92" i="1"/>
  <c r="D92" i="1"/>
  <c r="B92" i="1"/>
  <c r="J91" i="1"/>
  <c r="H91" i="1"/>
  <c r="F91" i="1"/>
  <c r="D91" i="1"/>
  <c r="B91" i="1"/>
  <c r="J90" i="1"/>
  <c r="H90" i="1"/>
  <c r="F90" i="1"/>
  <c r="D90" i="1"/>
  <c r="B90" i="1"/>
  <c r="J89" i="1"/>
  <c r="H89" i="1"/>
  <c r="F89" i="1"/>
  <c r="D89" i="1"/>
  <c r="B89" i="1"/>
  <c r="J88" i="1"/>
  <c r="H88" i="1"/>
  <c r="F88" i="1"/>
  <c r="D88" i="1"/>
  <c r="B88" i="1"/>
  <c r="J87" i="1"/>
  <c r="H87" i="1"/>
  <c r="F87" i="1"/>
  <c r="D87" i="1"/>
  <c r="B87" i="1"/>
  <c r="J86" i="1"/>
  <c r="J85" i="1"/>
  <c r="H85" i="1"/>
  <c r="F85" i="1"/>
  <c r="D85" i="1"/>
  <c r="B85" i="1"/>
  <c r="J84" i="1"/>
  <c r="H84" i="1"/>
  <c r="F84" i="1"/>
  <c r="D84" i="1"/>
  <c r="B84" i="1"/>
  <c r="J83" i="1"/>
  <c r="H83" i="1"/>
  <c r="F83" i="1"/>
  <c r="D83" i="1"/>
  <c r="B83" i="1"/>
  <c r="J82" i="1"/>
  <c r="H82" i="1"/>
  <c r="F82" i="1"/>
  <c r="D82" i="1"/>
  <c r="B82" i="1"/>
  <c r="J81" i="1"/>
  <c r="H81" i="1"/>
  <c r="F81" i="1"/>
  <c r="D81" i="1"/>
  <c r="B81" i="1"/>
  <c r="J80" i="1"/>
  <c r="H80" i="1"/>
  <c r="F80" i="1"/>
  <c r="D80" i="1"/>
  <c r="B80" i="1"/>
  <c r="J79" i="1"/>
  <c r="H79" i="1"/>
  <c r="F79" i="1"/>
  <c r="D79" i="1"/>
  <c r="B79" i="1"/>
  <c r="J78" i="1"/>
  <c r="H78" i="1"/>
  <c r="F78" i="1"/>
  <c r="D78" i="1"/>
  <c r="B78" i="1"/>
  <c r="J77" i="1"/>
  <c r="H77" i="1"/>
  <c r="F77" i="1"/>
  <c r="D77" i="1"/>
  <c r="B77" i="1"/>
  <c r="J76" i="1"/>
  <c r="H76" i="1"/>
  <c r="F76" i="1"/>
  <c r="D76" i="1"/>
  <c r="B76" i="1"/>
  <c r="J75" i="1"/>
  <c r="H75" i="1"/>
  <c r="F75" i="1"/>
  <c r="D75" i="1"/>
  <c r="B75" i="1"/>
  <c r="J74" i="1"/>
  <c r="H74" i="1"/>
  <c r="F74" i="1"/>
  <c r="D74" i="1"/>
  <c r="B74" i="1"/>
  <c r="J73" i="1"/>
  <c r="H73" i="1"/>
  <c r="F73" i="1"/>
  <c r="D73" i="1"/>
  <c r="B73" i="1"/>
  <c r="J72" i="1"/>
  <c r="H72" i="1"/>
  <c r="F72" i="1"/>
  <c r="D72" i="1"/>
  <c r="B72" i="1"/>
  <c r="J71" i="1"/>
  <c r="H71" i="1"/>
  <c r="F71" i="1"/>
  <c r="D71" i="1"/>
  <c r="B71" i="1"/>
  <c r="J70" i="1"/>
  <c r="H70" i="1"/>
  <c r="F70" i="1"/>
  <c r="D70" i="1"/>
  <c r="B70" i="1"/>
  <c r="J69" i="1"/>
  <c r="H69" i="1"/>
  <c r="F69" i="1"/>
  <c r="D69" i="1"/>
  <c r="B69" i="1"/>
  <c r="N72" i="1"/>
  <c r="N73" i="1"/>
  <c r="N74" i="1" s="1"/>
  <c r="M90" i="1"/>
  <c r="J96" i="6"/>
  <c r="J95" i="6"/>
  <c r="H95" i="6"/>
  <c r="F95" i="6"/>
  <c r="J94" i="6"/>
  <c r="H94" i="6"/>
  <c r="F94" i="6"/>
  <c r="D94" i="6"/>
  <c r="B94" i="6"/>
  <c r="J93" i="6"/>
  <c r="H93" i="6"/>
  <c r="F93" i="6"/>
  <c r="D93" i="6"/>
  <c r="B93" i="6"/>
  <c r="J92" i="6"/>
  <c r="H92" i="6"/>
  <c r="F92" i="6"/>
  <c r="D92" i="6"/>
  <c r="B92" i="6"/>
  <c r="J91" i="6"/>
  <c r="H91" i="6"/>
  <c r="F91" i="6"/>
  <c r="D91" i="6"/>
  <c r="B91" i="6"/>
  <c r="J90" i="6"/>
  <c r="H90" i="6"/>
  <c r="F90" i="6"/>
  <c r="D90" i="6"/>
  <c r="B90" i="6"/>
  <c r="J89" i="6"/>
  <c r="H89" i="6"/>
  <c r="F89" i="6"/>
  <c r="D89" i="6"/>
  <c r="B89" i="6"/>
  <c r="J88" i="6"/>
  <c r="H88" i="6"/>
  <c r="F88" i="6"/>
  <c r="D88" i="6"/>
  <c r="B88" i="6"/>
  <c r="J87" i="6"/>
  <c r="H87" i="6"/>
  <c r="F87" i="6"/>
  <c r="D87" i="6"/>
  <c r="B87" i="6"/>
  <c r="J86" i="6"/>
  <c r="J85" i="6"/>
  <c r="H85" i="6"/>
  <c r="F85" i="6"/>
  <c r="D85" i="6"/>
  <c r="B85" i="6"/>
  <c r="J84" i="6"/>
  <c r="H84" i="6"/>
  <c r="F84" i="6"/>
  <c r="D84" i="6"/>
  <c r="B84" i="6"/>
  <c r="J83" i="6"/>
  <c r="H83" i="6"/>
  <c r="F83" i="6"/>
  <c r="D83" i="6"/>
  <c r="B83" i="6"/>
  <c r="J82" i="6"/>
  <c r="H82" i="6"/>
  <c r="F82" i="6"/>
  <c r="D82" i="6"/>
  <c r="B82" i="6"/>
  <c r="J81" i="6"/>
  <c r="H81" i="6"/>
  <c r="F81" i="6"/>
  <c r="D81" i="6"/>
  <c r="B81" i="6"/>
  <c r="J80" i="6"/>
  <c r="H80" i="6"/>
  <c r="F80" i="6"/>
  <c r="D80" i="6"/>
  <c r="B80" i="6"/>
  <c r="J79" i="6"/>
  <c r="H79" i="6"/>
  <c r="F79" i="6"/>
  <c r="D79" i="6"/>
  <c r="B79" i="6"/>
  <c r="J78" i="6"/>
  <c r="H78" i="6"/>
  <c r="F78" i="6"/>
  <c r="D78" i="6"/>
  <c r="B78" i="6"/>
  <c r="J77" i="6"/>
  <c r="H77" i="6"/>
  <c r="F77" i="6"/>
  <c r="D77" i="6"/>
  <c r="B77" i="6"/>
  <c r="J76" i="6"/>
  <c r="H76" i="6"/>
  <c r="F76" i="6"/>
  <c r="D76" i="6"/>
  <c r="B76" i="6"/>
  <c r="J75" i="6"/>
  <c r="H75" i="6"/>
  <c r="F75" i="6"/>
  <c r="D75" i="6"/>
  <c r="B75" i="6"/>
  <c r="J74" i="6"/>
  <c r="H74" i="6"/>
  <c r="F74" i="6"/>
  <c r="D74" i="6"/>
  <c r="B74" i="6"/>
  <c r="J73" i="6"/>
  <c r="H73" i="6"/>
  <c r="F73" i="6"/>
  <c r="D73" i="6"/>
  <c r="B73" i="6"/>
  <c r="J72" i="6"/>
  <c r="H72" i="6"/>
  <c r="F72" i="6"/>
  <c r="D72" i="6"/>
  <c r="B72" i="6"/>
  <c r="J71" i="6"/>
  <c r="H71" i="6"/>
  <c r="F71" i="6"/>
  <c r="D71" i="6"/>
  <c r="B71" i="6"/>
  <c r="J70" i="6"/>
  <c r="H70" i="6"/>
  <c r="F70" i="6"/>
  <c r="D70" i="6"/>
  <c r="B70" i="6"/>
  <c r="J69" i="6"/>
  <c r="H69" i="6"/>
  <c r="F69" i="6"/>
  <c r="D69" i="6"/>
  <c r="B69" i="6"/>
  <c r="J67" i="6"/>
  <c r="H67" i="6"/>
  <c r="F67" i="6"/>
  <c r="D67" i="6"/>
  <c r="J65" i="6"/>
  <c r="D65" i="6"/>
  <c r="J64" i="6"/>
  <c r="H64" i="6"/>
  <c r="F64" i="6"/>
  <c r="D64" i="6"/>
  <c r="B64" i="6"/>
  <c r="J63" i="6"/>
  <c r="H63" i="6"/>
  <c r="F63" i="6"/>
  <c r="D63" i="6"/>
  <c r="B63" i="6"/>
  <c r="J62" i="6"/>
  <c r="H62" i="6"/>
  <c r="F62" i="6"/>
  <c r="D62" i="6"/>
  <c r="B62" i="6"/>
  <c r="J61" i="6"/>
  <c r="H61" i="6"/>
  <c r="F61" i="6"/>
  <c r="D61" i="6"/>
  <c r="B61" i="6"/>
  <c r="J60" i="6"/>
  <c r="H60" i="6"/>
  <c r="F60" i="6"/>
  <c r="D60" i="6"/>
  <c r="B60" i="6"/>
  <c r="J59" i="6"/>
  <c r="H59" i="6"/>
  <c r="F59" i="6"/>
  <c r="D59" i="6"/>
  <c r="B59" i="6"/>
  <c r="J58" i="6"/>
  <c r="H58" i="6"/>
  <c r="F58" i="6"/>
  <c r="D58" i="6"/>
  <c r="B58" i="6"/>
  <c r="J57" i="6"/>
  <c r="H57" i="6"/>
  <c r="F57" i="6"/>
  <c r="D57" i="6"/>
  <c r="B57" i="6"/>
  <c r="J56" i="6"/>
  <c r="H56" i="6"/>
  <c r="F56" i="6"/>
  <c r="D56" i="6"/>
  <c r="B56" i="6"/>
  <c r="J55" i="6"/>
  <c r="H55" i="6"/>
  <c r="F55" i="6"/>
  <c r="D55" i="6"/>
  <c r="B55" i="6"/>
  <c r="J54" i="6"/>
  <c r="H54" i="6"/>
  <c r="F54" i="6"/>
  <c r="D54" i="6"/>
  <c r="B54" i="6"/>
  <c r="J53" i="6"/>
  <c r="D53" i="6"/>
  <c r="J52" i="6"/>
  <c r="H52" i="6"/>
  <c r="F52" i="6"/>
  <c r="D52" i="6"/>
  <c r="B52" i="6"/>
  <c r="J51" i="6"/>
  <c r="H51" i="6"/>
  <c r="F51" i="6"/>
  <c r="D51" i="6"/>
  <c r="B51" i="6"/>
  <c r="J50" i="6"/>
  <c r="H50" i="6"/>
  <c r="F50" i="6"/>
  <c r="D50" i="6"/>
  <c r="B50" i="6"/>
  <c r="J49" i="6"/>
  <c r="H49" i="6"/>
  <c r="F49" i="6"/>
  <c r="D49" i="6"/>
  <c r="B49" i="6"/>
  <c r="J48" i="6"/>
  <c r="D48" i="6"/>
  <c r="J47" i="6"/>
  <c r="H47" i="6"/>
  <c r="F47" i="6"/>
  <c r="D47" i="6"/>
  <c r="B47" i="6"/>
  <c r="J46" i="6"/>
  <c r="H46" i="6"/>
  <c r="F46" i="6"/>
  <c r="D46" i="6"/>
  <c r="B46" i="6"/>
  <c r="J45" i="6"/>
  <c r="H45" i="6"/>
  <c r="F45" i="6"/>
  <c r="D45" i="6"/>
  <c r="B45" i="6"/>
  <c r="J44" i="6"/>
  <c r="H44" i="6"/>
  <c r="F44" i="6"/>
  <c r="D44" i="6"/>
  <c r="B44" i="6"/>
  <c r="J43" i="6"/>
  <c r="H43" i="6"/>
  <c r="F43" i="6"/>
  <c r="D43" i="6"/>
  <c r="B43" i="6"/>
  <c r="J42" i="6"/>
  <c r="H42" i="6"/>
  <c r="F42" i="6"/>
  <c r="D42" i="6"/>
  <c r="B42" i="6"/>
  <c r="J41" i="6"/>
  <c r="H41" i="6"/>
  <c r="F41" i="6"/>
  <c r="D41" i="6"/>
  <c r="B41" i="6"/>
  <c r="J40" i="6"/>
  <c r="H40" i="6"/>
  <c r="F40" i="6"/>
  <c r="D40" i="6"/>
  <c r="B40" i="6"/>
  <c r="J39" i="6"/>
  <c r="H39" i="6"/>
  <c r="F39" i="6"/>
  <c r="D39" i="6"/>
  <c r="B39" i="6"/>
  <c r="J38" i="6"/>
  <c r="H38" i="6"/>
  <c r="F38" i="6"/>
  <c r="D38" i="6"/>
  <c r="B38" i="6"/>
  <c r="J37" i="6"/>
  <c r="H37" i="6"/>
  <c r="F37" i="6"/>
  <c r="D37" i="6"/>
  <c r="B37" i="6"/>
  <c r="J36" i="6"/>
  <c r="H36" i="6"/>
  <c r="F36" i="6"/>
  <c r="D36" i="6"/>
  <c r="B36" i="6"/>
  <c r="J35" i="6"/>
  <c r="H35" i="6"/>
  <c r="F35" i="6"/>
  <c r="D35" i="6"/>
  <c r="B35" i="6"/>
  <c r="J34" i="6"/>
  <c r="H34" i="6"/>
  <c r="F34" i="6"/>
  <c r="D34" i="6"/>
  <c r="B34" i="6"/>
  <c r="J33" i="6"/>
  <c r="H33" i="6"/>
  <c r="F33" i="6"/>
  <c r="D33" i="6"/>
  <c r="B33" i="6"/>
  <c r="J32" i="6"/>
  <c r="H32" i="6"/>
  <c r="F32" i="6"/>
  <c r="D32" i="6"/>
  <c r="B32" i="6"/>
  <c r="J31" i="6"/>
  <c r="H31" i="6"/>
  <c r="F31" i="6"/>
  <c r="D31" i="6"/>
  <c r="B31" i="6"/>
  <c r="J30" i="6"/>
  <c r="H30" i="6"/>
  <c r="F30" i="6"/>
  <c r="D30" i="6"/>
  <c r="B30" i="6"/>
  <c r="J29" i="6"/>
  <c r="H29" i="6"/>
  <c r="F29" i="6"/>
  <c r="D29" i="6"/>
  <c r="B29" i="6"/>
  <c r="J28" i="6"/>
  <c r="H28" i="6"/>
  <c r="F28" i="6"/>
  <c r="D28" i="6"/>
  <c r="B28" i="6"/>
  <c r="J27" i="6"/>
  <c r="H27" i="6"/>
  <c r="F27" i="6"/>
  <c r="D27" i="6"/>
  <c r="B27" i="6"/>
  <c r="J26" i="6"/>
  <c r="H26" i="6"/>
  <c r="F26" i="6"/>
  <c r="D26" i="6"/>
  <c r="B26" i="6"/>
  <c r="J25" i="6"/>
  <c r="H25" i="6"/>
  <c r="F25" i="6"/>
  <c r="D25" i="6"/>
  <c r="B25" i="6"/>
  <c r="J24" i="6"/>
  <c r="H24" i="6"/>
  <c r="F24" i="6"/>
  <c r="D24" i="6"/>
  <c r="B24" i="6"/>
  <c r="J23" i="6"/>
  <c r="H23" i="6"/>
  <c r="F23" i="6"/>
  <c r="D23" i="6"/>
  <c r="B23" i="6"/>
  <c r="J22" i="6"/>
  <c r="H22" i="6"/>
  <c r="F22" i="6"/>
  <c r="D22" i="6"/>
  <c r="B22" i="6"/>
  <c r="J21" i="6"/>
  <c r="H21" i="6"/>
  <c r="F21" i="6"/>
  <c r="D21" i="6"/>
  <c r="B21" i="6"/>
  <c r="J20" i="6"/>
  <c r="H20" i="6"/>
  <c r="F20" i="6"/>
  <c r="D20" i="6"/>
  <c r="B20" i="6"/>
  <c r="J19" i="6"/>
  <c r="H19" i="6"/>
  <c r="F19" i="6"/>
  <c r="D19" i="6"/>
  <c r="B19" i="6"/>
  <c r="J18" i="6"/>
  <c r="H18" i="6"/>
  <c r="F18" i="6"/>
  <c r="D18" i="6"/>
  <c r="B18" i="6"/>
  <c r="J17" i="6"/>
  <c r="H17" i="6"/>
  <c r="F17" i="6"/>
  <c r="D17" i="6"/>
  <c r="B17" i="6"/>
  <c r="J16" i="6"/>
  <c r="H16" i="6"/>
  <c r="F16" i="6"/>
  <c r="D16" i="6"/>
  <c r="B16" i="6"/>
  <c r="J15" i="6"/>
  <c r="H15" i="6"/>
  <c r="F15" i="6"/>
  <c r="D15" i="6"/>
  <c r="B15" i="6"/>
  <c r="J14" i="6"/>
  <c r="H14" i="6"/>
  <c r="F14" i="6"/>
  <c r="D14" i="6"/>
  <c r="B14" i="6"/>
  <c r="J13" i="6"/>
  <c r="H13" i="6"/>
  <c r="F13" i="6"/>
  <c r="D13" i="6"/>
  <c r="B13" i="6"/>
  <c r="J12" i="6"/>
  <c r="H12" i="6"/>
  <c r="F12" i="6"/>
  <c r="D12" i="6"/>
  <c r="B12" i="6"/>
  <c r="J11" i="6"/>
  <c r="H11" i="6"/>
  <c r="F11" i="6"/>
  <c r="D11" i="6"/>
  <c r="B11" i="6"/>
  <c r="J10" i="6"/>
  <c r="H10" i="6"/>
  <c r="F10" i="6"/>
  <c r="D10" i="6"/>
  <c r="B10" i="6"/>
  <c r="J9" i="6"/>
  <c r="H9" i="6"/>
  <c r="F9" i="6"/>
  <c r="D9" i="6"/>
  <c r="B9" i="6"/>
  <c r="J8" i="6"/>
  <c r="H8" i="6"/>
  <c r="F8" i="6"/>
  <c r="D8" i="6"/>
  <c r="B8" i="6"/>
  <c r="J7" i="6"/>
  <c r="H7" i="6"/>
  <c r="F7" i="6"/>
  <c r="D7" i="6"/>
  <c r="B7" i="6"/>
  <c r="J6" i="6"/>
  <c r="H6" i="6"/>
  <c r="F6" i="6"/>
  <c r="D6" i="6"/>
  <c r="B6" i="6"/>
  <c r="J5" i="6"/>
  <c r="H5" i="6"/>
  <c r="F5" i="6"/>
  <c r="D5" i="6"/>
  <c r="B5" i="6"/>
  <c r="J2" i="6"/>
  <c r="H2" i="6"/>
  <c r="F2" i="6"/>
  <c r="D2" i="6"/>
  <c r="N75" i="1" l="1"/>
  <c r="M90" i="6"/>
  <c r="N73" i="6"/>
  <c r="N72" i="6"/>
  <c r="N74" i="6" l="1"/>
  <c r="B64" i="1"/>
  <c r="N75" i="6" l="1"/>
  <c r="J31" i="5"/>
  <c r="F31" i="5"/>
  <c r="D31" i="5"/>
  <c r="B31" i="5"/>
  <c r="J30" i="5"/>
  <c r="F30" i="5"/>
  <c r="J29" i="5"/>
  <c r="H29" i="5"/>
  <c r="F29" i="5"/>
  <c r="D29" i="5"/>
  <c r="B29" i="5"/>
  <c r="J28" i="5"/>
  <c r="H28" i="5"/>
  <c r="F28" i="5"/>
  <c r="D28" i="5"/>
  <c r="B28" i="5"/>
  <c r="J27" i="5"/>
  <c r="H27" i="5"/>
  <c r="F27" i="5"/>
  <c r="D27" i="5"/>
  <c r="B27" i="5"/>
  <c r="J26" i="5"/>
  <c r="H26" i="5"/>
  <c r="F26" i="5"/>
  <c r="D26" i="5"/>
  <c r="B26" i="5"/>
  <c r="J25" i="5"/>
  <c r="H25" i="5"/>
  <c r="F25" i="5"/>
  <c r="D25" i="5"/>
  <c r="B25" i="5"/>
  <c r="J24" i="5"/>
  <c r="H24" i="5"/>
  <c r="F24" i="5"/>
  <c r="D24" i="5"/>
  <c r="B24" i="5"/>
  <c r="J23" i="5"/>
  <c r="H23" i="5"/>
  <c r="F23" i="5"/>
  <c r="D23" i="5"/>
  <c r="B23" i="5"/>
  <c r="J22" i="5"/>
  <c r="H22" i="5"/>
  <c r="F22" i="5"/>
  <c r="D22" i="5"/>
  <c r="B22" i="5"/>
  <c r="J21" i="5"/>
  <c r="H21" i="5"/>
  <c r="F21" i="5"/>
  <c r="D21" i="5"/>
  <c r="B21" i="5"/>
  <c r="J20" i="5"/>
  <c r="H20" i="5"/>
  <c r="F20" i="5"/>
  <c r="D20" i="5"/>
  <c r="B20" i="5"/>
  <c r="J19" i="5"/>
  <c r="H19" i="5"/>
  <c r="F19" i="5"/>
  <c r="D19" i="5"/>
  <c r="B19" i="5"/>
  <c r="J18" i="5"/>
  <c r="H18" i="5"/>
  <c r="F18" i="5"/>
  <c r="D18" i="5"/>
  <c r="B18" i="5"/>
  <c r="J17" i="5"/>
  <c r="H17" i="5"/>
  <c r="F17" i="5"/>
  <c r="D17" i="5"/>
  <c r="B17" i="5"/>
  <c r="J16" i="5"/>
  <c r="H16" i="5"/>
  <c r="F16" i="5"/>
  <c r="D16" i="5"/>
  <c r="B16" i="5"/>
  <c r="J15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B13" i="5"/>
  <c r="J12" i="5"/>
  <c r="H12" i="5"/>
  <c r="F12" i="5"/>
  <c r="D12" i="5"/>
  <c r="B12" i="5"/>
  <c r="J11" i="5"/>
  <c r="H11" i="5"/>
  <c r="F11" i="5"/>
  <c r="D11" i="5"/>
  <c r="B11" i="5"/>
  <c r="J10" i="5"/>
  <c r="H10" i="5"/>
  <c r="F10" i="5"/>
  <c r="D10" i="5"/>
  <c r="B10" i="5"/>
  <c r="J9" i="5"/>
  <c r="H9" i="5"/>
  <c r="F9" i="5"/>
  <c r="D9" i="5"/>
  <c r="B9" i="5"/>
  <c r="J8" i="5"/>
  <c r="H8" i="5"/>
  <c r="F8" i="5"/>
  <c r="D8" i="5"/>
  <c r="B8" i="5"/>
  <c r="J7" i="5"/>
  <c r="H7" i="5"/>
  <c r="F7" i="5"/>
  <c r="D7" i="5"/>
  <c r="B7" i="5"/>
  <c r="J6" i="5"/>
  <c r="H6" i="5"/>
  <c r="F6" i="5"/>
  <c r="D6" i="5"/>
  <c r="B6" i="5"/>
  <c r="J5" i="5"/>
  <c r="H5" i="5"/>
  <c r="F5" i="5"/>
  <c r="D5" i="5"/>
  <c r="B5" i="5"/>
  <c r="J2" i="5"/>
  <c r="H2" i="5"/>
  <c r="F2" i="5"/>
  <c r="D2" i="5"/>
  <c r="J67" i="1"/>
  <c r="H67" i="1"/>
  <c r="F67" i="1"/>
  <c r="D67" i="1"/>
  <c r="H47" i="1" l="1"/>
  <c r="D47" i="1"/>
  <c r="B47" i="1"/>
  <c r="H46" i="1"/>
  <c r="D46" i="1"/>
  <c r="B46" i="1"/>
  <c r="H45" i="1"/>
  <c r="D45" i="1"/>
  <c r="B45" i="1"/>
  <c r="H44" i="1"/>
  <c r="D44" i="1"/>
  <c r="B44" i="1"/>
  <c r="H43" i="1"/>
  <c r="D43" i="1"/>
  <c r="B43" i="1"/>
  <c r="H42" i="1"/>
  <c r="D42" i="1"/>
  <c r="B42" i="1"/>
  <c r="H41" i="1"/>
  <c r="D41" i="1"/>
  <c r="B41" i="1"/>
  <c r="H40" i="1"/>
  <c r="D40" i="1"/>
  <c r="B40" i="1"/>
  <c r="H39" i="1"/>
  <c r="D39" i="1"/>
  <c r="B39" i="1"/>
  <c r="H38" i="1"/>
  <c r="D38" i="1"/>
  <c r="B38" i="1"/>
  <c r="H37" i="1"/>
  <c r="D37" i="1"/>
  <c r="B37" i="1"/>
  <c r="H36" i="1"/>
  <c r="D36" i="1"/>
  <c r="B36" i="1"/>
  <c r="H35" i="1"/>
  <c r="D35" i="1"/>
  <c r="B35" i="1"/>
  <c r="H34" i="1"/>
  <c r="D34" i="1"/>
  <c r="B34" i="1"/>
  <c r="H33" i="1"/>
  <c r="D33" i="1"/>
  <c r="B33" i="1"/>
  <c r="H32" i="1"/>
  <c r="D32" i="1"/>
  <c r="B32" i="1"/>
  <c r="H31" i="1"/>
  <c r="D31" i="1"/>
  <c r="B31" i="1"/>
  <c r="H30" i="1"/>
  <c r="D30" i="1"/>
  <c r="B30" i="1"/>
  <c r="H29" i="1"/>
  <c r="D29" i="1"/>
  <c r="B29" i="1"/>
  <c r="H28" i="1"/>
  <c r="D28" i="1"/>
  <c r="B28" i="1"/>
  <c r="H27" i="1"/>
  <c r="D27" i="1"/>
  <c r="B27" i="1"/>
  <c r="H26" i="1"/>
  <c r="D26" i="1"/>
  <c r="B26" i="1"/>
  <c r="H25" i="1"/>
  <c r="D25" i="1"/>
  <c r="B25" i="1"/>
  <c r="H24" i="1"/>
  <c r="D24" i="1"/>
  <c r="B24" i="1"/>
  <c r="H23" i="1"/>
  <c r="D23" i="1"/>
  <c r="B23" i="1"/>
  <c r="H22" i="1"/>
  <c r="D22" i="1"/>
  <c r="B22" i="1"/>
  <c r="H21" i="1"/>
  <c r="D21" i="1"/>
  <c r="B21" i="1"/>
  <c r="H20" i="1"/>
  <c r="D20" i="1"/>
  <c r="B20" i="1"/>
  <c r="H19" i="1"/>
  <c r="D19" i="1"/>
  <c r="B19" i="1"/>
  <c r="H18" i="1"/>
  <c r="D18" i="1"/>
  <c r="B18" i="1"/>
  <c r="H17" i="1"/>
  <c r="D17" i="1"/>
  <c r="B17" i="1"/>
  <c r="H16" i="1"/>
  <c r="D16" i="1"/>
  <c r="B16" i="1"/>
  <c r="H15" i="1"/>
  <c r="D15" i="1"/>
  <c r="B15" i="1"/>
  <c r="H14" i="1"/>
  <c r="D14" i="1"/>
  <c r="B14" i="1"/>
  <c r="H13" i="1"/>
  <c r="D13" i="1"/>
  <c r="B13" i="1"/>
  <c r="H12" i="1"/>
  <c r="D12" i="1"/>
  <c r="B12" i="1"/>
  <c r="H11" i="1"/>
  <c r="D11" i="1"/>
  <c r="B11" i="1"/>
  <c r="H10" i="1"/>
  <c r="D10" i="1"/>
  <c r="B10" i="1"/>
  <c r="H9" i="1"/>
  <c r="D9" i="1"/>
  <c r="B9" i="1"/>
  <c r="J57" i="1"/>
  <c r="J65" i="1"/>
  <c r="B63" i="1"/>
  <c r="H64" i="1"/>
  <c r="D64" i="1"/>
  <c r="H63" i="1"/>
  <c r="D63" i="1"/>
  <c r="H62" i="1"/>
  <c r="D62" i="1"/>
  <c r="B62" i="1"/>
  <c r="H61" i="1"/>
  <c r="D61" i="1"/>
  <c r="B61" i="1"/>
  <c r="H60" i="1"/>
  <c r="D60" i="1"/>
  <c r="B60" i="1"/>
  <c r="H59" i="1"/>
  <c r="D59" i="1"/>
  <c r="B59" i="1"/>
  <c r="H58" i="1"/>
  <c r="D58" i="1"/>
  <c r="B58" i="1"/>
  <c r="J48" i="1"/>
  <c r="D48" i="1"/>
  <c r="J8" i="1"/>
  <c r="F8" i="1"/>
  <c r="B8" i="1"/>
  <c r="H7" i="1"/>
  <c r="D7" i="1"/>
  <c r="B7" i="1"/>
  <c r="J6" i="1"/>
  <c r="F6" i="1"/>
  <c r="B6" i="1"/>
  <c r="B5" i="1"/>
  <c r="J53" i="1"/>
  <c r="D53" i="1"/>
  <c r="J52" i="1"/>
  <c r="F52" i="1"/>
  <c r="B52" i="1"/>
  <c r="H51" i="1"/>
  <c r="D51" i="1"/>
  <c r="B51" i="1"/>
  <c r="J50" i="1"/>
  <c r="F50" i="1"/>
  <c r="B50" i="1"/>
  <c r="B49" i="1"/>
  <c r="F57" i="1"/>
  <c r="B57" i="1"/>
  <c r="H56" i="1"/>
  <c r="D56" i="1"/>
  <c r="B56" i="1"/>
  <c r="J55" i="1"/>
  <c r="F55" i="1"/>
  <c r="B55" i="1"/>
  <c r="B54" i="1"/>
  <c r="D65" i="1"/>
  <c r="M17" i="5" l="1"/>
  <c r="N4" i="5"/>
  <c r="N5" i="5" s="1"/>
  <c r="N6" i="5" l="1"/>
  <c r="J24" i="2"/>
  <c r="F24" i="2"/>
  <c r="B24" i="2"/>
  <c r="H23" i="2"/>
  <c r="D23" i="2"/>
  <c r="B23" i="2"/>
  <c r="J22" i="2"/>
  <c r="F22" i="2"/>
  <c r="B22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B8" i="2"/>
  <c r="H7" i="2"/>
  <c r="D7" i="2"/>
  <c r="B7" i="2"/>
  <c r="J6" i="2"/>
  <c r="F6" i="2"/>
  <c r="B6" i="2"/>
  <c r="B5" i="2"/>
  <c r="N4" i="2"/>
  <c r="D22" i="2" s="1"/>
  <c r="H4" i="2"/>
  <c r="D4" i="2"/>
  <c r="B4" i="2"/>
  <c r="J3" i="2"/>
  <c r="F3" i="2"/>
  <c r="B3" i="2"/>
  <c r="H2" i="2"/>
  <c r="D2" i="2"/>
  <c r="B2" i="2"/>
  <c r="D3" i="2" l="1"/>
  <c r="N5" i="2"/>
  <c r="F23" i="2" s="1"/>
  <c r="D21" i="2"/>
  <c r="D24" i="2"/>
  <c r="D8" i="2"/>
  <c r="N7" i="5"/>
  <c r="F21" i="2"/>
  <c r="D6" i="2"/>
  <c r="F7" i="2"/>
  <c r="D5" i="2"/>
  <c r="F5" i="2"/>
  <c r="F20" i="2" l="1"/>
  <c r="F2" i="2"/>
  <c r="F14" i="2"/>
  <c r="N6" i="2"/>
  <c r="F4" i="2"/>
  <c r="H2" i="1"/>
  <c r="D2" i="1"/>
  <c r="H21" i="2" l="1"/>
  <c r="H5" i="2"/>
  <c r="H3" i="2"/>
  <c r="H24" i="2"/>
  <c r="H22" i="2"/>
  <c r="H8" i="2"/>
  <c r="H6" i="2"/>
  <c r="N7" i="2"/>
  <c r="D49" i="1" l="1"/>
  <c r="D57" i="1"/>
  <c r="D6" i="1"/>
  <c r="D5" i="1"/>
  <c r="D55" i="1"/>
  <c r="D8" i="1"/>
  <c r="D50" i="1"/>
  <c r="D54" i="1"/>
  <c r="D52" i="1"/>
  <c r="J20" i="2"/>
  <c r="J21" i="2"/>
  <c r="J10" i="2"/>
  <c r="J4" i="2"/>
  <c r="J2" i="2"/>
  <c r="J17" i="2"/>
  <c r="J9" i="2"/>
  <c r="J7" i="2"/>
  <c r="J5" i="2"/>
  <c r="J23" i="2"/>
  <c r="J11" i="2"/>
  <c r="J15" i="2"/>
  <c r="J16" i="2"/>
  <c r="J14" i="2"/>
  <c r="F44" i="1" l="1"/>
  <c r="F40" i="1"/>
  <c r="F36" i="1"/>
  <c r="F32" i="1"/>
  <c r="F28" i="1"/>
  <c r="F24" i="1"/>
  <c r="F20" i="1"/>
  <c r="F16" i="1"/>
  <c r="F12" i="1"/>
  <c r="F63" i="1"/>
  <c r="F56" i="1"/>
  <c r="F51" i="1"/>
  <c r="F47" i="1"/>
  <c r="F43" i="1"/>
  <c r="F39" i="1"/>
  <c r="F35" i="1"/>
  <c r="F31" i="1"/>
  <c r="F46" i="1"/>
  <c r="F42" i="1"/>
  <c r="F38" i="1"/>
  <c r="F34" i="1"/>
  <c r="F30" i="1"/>
  <c r="F26" i="1"/>
  <c r="F22" i="1"/>
  <c r="F18" i="1"/>
  <c r="F14" i="1"/>
  <c r="F10" i="1"/>
  <c r="F54" i="1"/>
  <c r="F27" i="1"/>
  <c r="F23" i="1"/>
  <c r="F19" i="1"/>
  <c r="F15" i="1"/>
  <c r="F64" i="1"/>
  <c r="F45" i="1"/>
  <c r="F41" i="1"/>
  <c r="F37" i="1"/>
  <c r="F33" i="1"/>
  <c r="F29" i="1"/>
  <c r="F25" i="1"/>
  <c r="F21" i="1"/>
  <c r="F17" i="1"/>
  <c r="F13" i="1"/>
  <c r="F9" i="1"/>
  <c r="F62" i="1"/>
  <c r="F61" i="1"/>
  <c r="F60" i="1"/>
  <c r="F59" i="1"/>
  <c r="F58" i="1"/>
  <c r="F7" i="1"/>
  <c r="F49" i="1"/>
  <c r="F11" i="1"/>
  <c r="F5" i="1"/>
  <c r="F2" i="1"/>
  <c r="H5" i="1" l="1"/>
  <c r="H55" i="1"/>
  <c r="H8" i="1"/>
  <c r="H54" i="1"/>
  <c r="H49" i="1"/>
  <c r="H57" i="1"/>
  <c r="H50" i="1"/>
  <c r="H6" i="1"/>
  <c r="H52" i="1"/>
  <c r="J46" i="1" l="1"/>
  <c r="J42" i="1"/>
  <c r="J38" i="1"/>
  <c r="J34" i="1"/>
  <c r="J30" i="1"/>
  <c r="J26" i="1"/>
  <c r="J22" i="1"/>
  <c r="J18" i="1"/>
  <c r="J14" i="1"/>
  <c r="J10" i="1"/>
  <c r="J59" i="1"/>
  <c r="J63" i="1"/>
  <c r="J54" i="1"/>
  <c r="J17" i="1"/>
  <c r="J13" i="1"/>
  <c r="J60" i="1"/>
  <c r="J45" i="1"/>
  <c r="J41" i="1"/>
  <c r="J37" i="1"/>
  <c r="J33" i="1"/>
  <c r="J29" i="1"/>
  <c r="J44" i="1"/>
  <c r="J40" i="1"/>
  <c r="J36" i="1"/>
  <c r="J32" i="1"/>
  <c r="J28" i="1"/>
  <c r="J24" i="1"/>
  <c r="J20" i="1"/>
  <c r="J16" i="1"/>
  <c r="J12" i="1"/>
  <c r="J61" i="1"/>
  <c r="J56" i="1"/>
  <c r="J25" i="1"/>
  <c r="J21" i="1"/>
  <c r="J9" i="1"/>
  <c r="J7" i="1"/>
  <c r="J47" i="1"/>
  <c r="J43" i="1"/>
  <c r="J39" i="1"/>
  <c r="J35" i="1"/>
  <c r="J31" i="1"/>
  <c r="J27" i="1"/>
  <c r="J23" i="1"/>
  <c r="J19" i="1"/>
  <c r="J15" i="1"/>
  <c r="J11" i="1"/>
  <c r="J58" i="1"/>
  <c r="J62" i="1"/>
  <c r="J5" i="1"/>
  <c r="J51" i="1"/>
  <c r="J64" i="1"/>
  <c r="J49" i="1"/>
  <c r="J2" i="1"/>
</calcChain>
</file>

<file path=xl/sharedStrings.xml><?xml version="1.0" encoding="utf-8"?>
<sst xmlns="http://schemas.openxmlformats.org/spreadsheetml/2006/main" count="756" uniqueCount="71">
  <si>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</si>
  <si>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</si>
  <si>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</si>
  <si>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</si>
  <si>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</si>
  <si>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</si>
  <si>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</si>
  <si>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</si>
  <si>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</si>
  <si>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</si>
  <si>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</si>
  <si>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</si>
  <si>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</si>
  <si>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</si>
  <si>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</si>
  <si>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</si>
  <si>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</si>
  <si>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</si>
  <si>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</si>
  <si>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</si>
  <si>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</si>
  <si>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</si>
  <si>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</si>
  <si>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</si>
  <si>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</si>
  <si>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</si>
  <si>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</si>
  <si>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</si>
  <si>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</si>
  <si>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</si>
  <si>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</si>
  <si>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</si>
  <si>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</si>
  <si>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</si>
  <si>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</si>
  <si>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</si>
  <si>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</si>
  <si>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</si>
  <si>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AABA120</t>
  </si>
  <si>
    <t>120 프레임의 샷타임으로 공격한다</t>
  </si>
  <si>
    <t>030 프레임의 샷타임으로 공격한다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</si>
  <si>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</si>
  <si>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</si>
  <si>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</si>
  <si>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</si>
  <si>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AGAX020</t>
    <phoneticPr fontId="1" type="noConversion"/>
  </si>
  <si>
    <t>load id=Stage3Debug</t>
    <phoneticPr fontId="1" type="noConversion"/>
  </si>
  <si>
    <t>load id=Stage4Debug</t>
    <phoneticPr fontId="1" type="noConversion"/>
  </si>
  <si>
    <t>AGAA060</t>
    <phoneticPr fontId="1" type="noConversion"/>
  </si>
  <si>
    <t>AABA060</t>
    <phoneticPr fontId="1" type="noConversion"/>
  </si>
  <si>
    <t>AAEA060</t>
    <phoneticPr fontId="1" type="noConversion"/>
  </si>
  <si>
    <t>load id=Story01Start</t>
    <phoneticPr fontId="1" type="noConversion"/>
  </si>
  <si>
    <t>load id=Story01Mid01</t>
    <phoneticPr fontId="1" type="noConversion"/>
  </si>
  <si>
    <t>load id=Story01Mid02</t>
    <phoneticPr fontId="1" type="noConversion"/>
  </si>
  <si>
    <t>AAXA060</t>
    <phoneticPr fontId="1" type="noConversion"/>
  </si>
  <si>
    <t>load id=Story01Mid03</t>
    <phoneticPr fontId="1" type="noConversion"/>
  </si>
  <si>
    <t>boss=Boss1|inactivated</t>
    <phoneticPr fontId="1" type="noConversion"/>
  </si>
  <si>
    <t>boss=Boss1|activated</t>
    <phoneticPr fontId="1" type="noConversion"/>
  </si>
  <si>
    <t>load id=Story01Mid02</t>
    <phoneticPr fontId="1" type="noConversion"/>
  </si>
  <si>
    <t>load id=Story01Boss</t>
    <phoneticPr fontId="1" type="noConversion"/>
  </si>
  <si>
    <t>load id=Story01Mid01</t>
  </si>
  <si>
    <t>load id=Story01Start</t>
  </si>
  <si>
    <t>AAAA150</t>
  </si>
  <si>
    <t>AAEA150</t>
  </si>
  <si>
    <t>AGAA150</t>
  </si>
  <si>
    <t>AAXA150</t>
  </si>
  <si>
    <t>AABA150</t>
  </si>
  <si>
    <t>CADA150</t>
  </si>
  <si>
    <t>150 프레임의 샷타임으로 공격한다</t>
  </si>
  <si>
    <t>AAEA150</t>
    <phoneticPr fontId="1" type="noConversion"/>
  </si>
  <si>
    <t>AGAA150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</si>
</sst>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96"/>
  <sheetViews>
    <sheetView tabSelected="1" workbookViewId="0">
      <pane ySplit="1" topLeftCell="A51" activePane="bottomLeft" state="frozen"/>
      <selection pane="bottomLeft" activeCell="D64" sqref="D64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1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6.5" x14ac:dyDescent="0.3">
      <c r="A2" s="1">
        <v>0</v>
      </c>
      <c r="B2" s="1" t="s">
        <v>42</v>
      </c>
      <c r="C2" s="1"/>
      <c r="D2" s="1" t="str">
        <f>IF(E2&lt;&gt;"",$N$72,"")</f>
        <v/>
      </c>
      <c r="E2" s="1"/>
      <c r="F2" s="1" t="str">
        <f>IF(G2&lt;&gt;"",$N$73,"")</f>
        <v/>
      </c>
      <c r="G2" s="1"/>
      <c r="H2" s="1" t="str">
        <f>IF(I2&lt;&gt;"",$N$74,"")</f>
        <v/>
      </c>
      <c r="I2" s="1"/>
      <c r="J2" s="1" t="str">
        <f>IF(K2&lt;&gt;"",$N$75,"")</f>
        <v/>
      </c>
      <c r="K2" s="1"/>
    </row>
    <row r="3" spans="1:11" ht="16.5" x14ac:dyDescent="0.3">
      <c r="A3" s="1">
        <v>0</v>
      </c>
      <c r="B3" s="1" t="s">
        <v>43</v>
      </c>
      <c r="C3" s="1"/>
      <c r="D3" s="1"/>
      <c r="E3" s="1"/>
      <c r="F3" s="1"/>
      <c r="G3" s="1"/>
      <c r="H3" s="1"/>
      <c r="I3" s="1"/>
      <c r="J3" s="1"/>
      <c r="K3" s="1"/>
    </row>
    <row r="4" spans="1:11" ht="16.5" x14ac:dyDescent="0.3">
      <c r="A4" s="1">
        <v>0</v>
      </c>
      <c r="B4" s="1" t="s">
        <v>44</v>
      </c>
      <c r="C4" s="1"/>
      <c r="D4" s="1"/>
      <c r="E4" s="1"/>
      <c r="F4" s="1"/>
      <c r="G4" s="1"/>
      <c r="H4" s="1"/>
      <c r="I4" s="1"/>
      <c r="J4" s="1"/>
      <c r="K4" s="1"/>
    </row>
    <row r="5" spans="1:11" ht="16.5" x14ac:dyDescent="0.3">
      <c r="A5" s="1">
        <v>0.03</v>
      </c>
      <c r="B5" s="1">
        <f>IF(C5&lt;&gt;"",$N$71,"")</f>
        <v>32</v>
      </c>
      <c r="C5" s="1" t="s">
        <v>67</v>
      </c>
      <c r="D5" s="1">
        <f>IF(E5&lt;&gt;"",$N$72,"")</f>
        <v>128</v>
      </c>
      <c r="E5" s="1" t="s">
        <v>63</v>
      </c>
      <c r="F5" s="1">
        <f>IF(G5&lt;&gt;"",$N$73,"")</f>
        <v>224</v>
      </c>
      <c r="G5" s="1" t="s">
        <v>67</v>
      </c>
      <c r="H5" s="1">
        <f>IF(I5&lt;&gt;"",$N$74,"")</f>
        <v>320</v>
      </c>
      <c r="I5" s="1" t="s">
        <v>63</v>
      </c>
      <c r="J5" s="1">
        <f>IF(K5&lt;&gt;"",$N$75,"")</f>
        <v>416</v>
      </c>
      <c r="K5" s="1" t="s">
        <v>67</v>
      </c>
    </row>
    <row r="6" spans="1:11" ht="16.5" x14ac:dyDescent="0.3">
      <c r="A6" s="1">
        <v>0.03</v>
      </c>
      <c r="B6" s="1" t="str">
        <f>IF(C6&lt;&gt;"",$N$71,"")</f>
        <v/>
      </c>
      <c r="C6" s="1"/>
      <c r="D6" s="1">
        <f>IF(E6&lt;&gt;"",$N$72,"")</f>
        <v>128</v>
      </c>
      <c r="E6" s="1" t="s">
        <v>67</v>
      </c>
      <c r="F6" s="1" t="str">
        <f>IF(G6&lt;&gt;"",$N$73,"")</f>
        <v/>
      </c>
      <c r="G6" s="1"/>
      <c r="H6" s="1">
        <f>IF(I6&lt;&gt;"",$N$74,"")</f>
        <v>320</v>
      </c>
      <c r="I6" s="1" t="s">
        <v>67</v>
      </c>
      <c r="J6" s="1" t="str">
        <f>IF(K6&lt;&gt;"",$N$75,"")</f>
        <v/>
      </c>
      <c r="K6" s="1"/>
    </row>
    <row r="7" spans="1:11" ht="16.5" x14ac:dyDescent="0.3">
      <c r="A7" s="1">
        <v>0.03</v>
      </c>
      <c r="B7" s="1">
        <f>IF(C7&lt;&gt;"",$N$71,"")</f>
        <v>32</v>
      </c>
      <c r="C7" s="1" t="s">
        <v>62</v>
      </c>
      <c r="D7" s="1" t="str">
        <f>IF(E7&lt;&gt;"",$N$72,"")</f>
        <v/>
      </c>
      <c r="E7" s="1"/>
      <c r="F7" s="1">
        <f>IF(G7&lt;&gt;"",$N$73,"")</f>
        <v>224</v>
      </c>
      <c r="G7" s="1" t="s">
        <v>62</v>
      </c>
      <c r="H7" s="1" t="str">
        <f>IF(I7&lt;&gt;"",$N$74,"")</f>
        <v/>
      </c>
      <c r="I7" s="1"/>
      <c r="J7" s="1">
        <f>IF(K7&lt;&gt;"",$N$75,"")</f>
        <v>416</v>
      </c>
      <c r="K7" s="1" t="s">
        <v>62</v>
      </c>
    </row>
    <row r="8" spans="1:11" ht="16.5" x14ac:dyDescent="0.3">
      <c r="A8" s="1">
        <v>0.1</v>
      </c>
      <c r="B8" s="1" t="str">
        <f>IF(C8&lt;&gt;"",$N$71,"")</f>
        <v/>
      </c>
      <c r="C8" s="1"/>
      <c r="D8" s="1">
        <f>IF(E8&lt;&gt;"",$N$72,"")</f>
        <v>128</v>
      </c>
      <c r="E8" s="1" t="s">
        <v>45</v>
      </c>
      <c r="F8" s="1" t="str">
        <f>IF(G8&lt;&gt;"",$N$70,"")</f>
        <v/>
      </c>
      <c r="G8" s="1"/>
      <c r="H8" s="1">
        <f>IF(I8&lt;&gt;"",$N$74,"")</f>
        <v>320</v>
      </c>
      <c r="I8" s="1" t="s">
        <v>45</v>
      </c>
      <c r="J8" s="1" t="str">
        <f>IF(K8&lt;&gt;"",$N$72,"")</f>
        <v/>
      </c>
      <c r="K8" s="1"/>
    </row>
    <row r="9" spans="1:11" ht="16.5" x14ac:dyDescent="0.3">
      <c r="A9" s="1">
        <v>0.03</v>
      </c>
      <c r="B9" s="1">
        <f>IF(C9&lt;&gt;"",$N$71,"")</f>
        <v>32</v>
      </c>
      <c r="C9" s="1" t="s">
        <v>62</v>
      </c>
      <c r="D9" s="1" t="str">
        <f>IF(E9&lt;&gt;"",$N$72,"")</f>
        <v/>
      </c>
      <c r="E9" s="1"/>
      <c r="F9" s="1">
        <f>IF(G9&lt;&gt;"",$N$73,"")</f>
        <v>224</v>
      </c>
      <c r="G9" s="1" t="s">
        <v>62</v>
      </c>
      <c r="H9" s="1" t="str">
        <f>IF(I9&lt;&gt;"",$N$74,"")</f>
        <v/>
      </c>
      <c r="I9" s="1"/>
      <c r="J9" s="1">
        <f>IF(K9&lt;&gt;"",$N$75,"")</f>
        <v>416</v>
      </c>
      <c r="K9" s="1" t="s">
        <v>62</v>
      </c>
    </row>
    <row r="10" spans="1:11" ht="16.5" x14ac:dyDescent="0.3">
      <c r="A10" s="1">
        <v>0.03</v>
      </c>
      <c r="B10" s="1">
        <f>IF(C10&lt;&gt;"",$N$71,"")</f>
        <v>32</v>
      </c>
      <c r="C10" s="1" t="s">
        <v>62</v>
      </c>
      <c r="D10" s="1" t="str">
        <f>IF(E10&lt;&gt;"",$N$72,"")</f>
        <v/>
      </c>
      <c r="E10" s="1"/>
      <c r="F10" s="1">
        <f>IF(G10&lt;&gt;"",$N$73,"")</f>
        <v>224</v>
      </c>
      <c r="G10" s="1" t="s">
        <v>62</v>
      </c>
      <c r="H10" s="1" t="str">
        <f>IF(I10&lt;&gt;"",$N$74,"")</f>
        <v/>
      </c>
      <c r="I10" s="1"/>
      <c r="J10" s="1">
        <f>IF(K10&lt;&gt;"",$N$75,"")</f>
        <v>416</v>
      </c>
      <c r="K10" s="1" t="s">
        <v>62</v>
      </c>
    </row>
    <row r="11" spans="1:11" ht="16.5" x14ac:dyDescent="0.3">
      <c r="A11" s="1">
        <v>0.03</v>
      </c>
      <c r="B11" s="1">
        <f>IF(C11&lt;&gt;"",$N$71,"")</f>
        <v>32</v>
      </c>
      <c r="C11" s="1" t="s">
        <v>62</v>
      </c>
      <c r="D11" s="1" t="str">
        <f>IF(E11&lt;&gt;"",$N$72,"")</f>
        <v/>
      </c>
      <c r="E11" s="1"/>
      <c r="F11" s="1">
        <f>IF(G11&lt;&gt;"",$N$73,"")</f>
        <v>224</v>
      </c>
      <c r="G11" s="1" t="s">
        <v>62</v>
      </c>
      <c r="H11" s="1" t="str">
        <f>IF(I11&lt;&gt;"",$N$74,"")</f>
        <v/>
      </c>
      <c r="I11" s="1"/>
      <c r="J11" s="1">
        <f>IF(K11&lt;&gt;"",$N$75,"")</f>
        <v>416</v>
      </c>
      <c r="K11" s="1" t="s">
        <v>62</v>
      </c>
    </row>
    <row r="12" spans="1:11" ht="16.5" x14ac:dyDescent="0.3">
      <c r="A12" s="1">
        <v>0.03</v>
      </c>
      <c r="B12" s="1">
        <f>IF(C12&lt;&gt;"",$N$71,"")</f>
        <v>32</v>
      </c>
      <c r="C12" s="1" t="s">
        <v>62</v>
      </c>
      <c r="D12" s="1" t="str">
        <f>IF(E12&lt;&gt;"",$N$72,"")</f>
        <v/>
      </c>
      <c r="E12" s="1"/>
      <c r="F12" s="1">
        <f>IF(G12&lt;&gt;"",$N$73,"")</f>
        <v>224</v>
      </c>
      <c r="G12" s="1" t="s">
        <v>62</v>
      </c>
      <c r="H12" s="1" t="str">
        <f>IF(I12&lt;&gt;"",$N$74,"")</f>
        <v/>
      </c>
      <c r="I12" s="1"/>
      <c r="J12" s="1">
        <f>IF(K12&lt;&gt;"",$N$75,"")</f>
        <v>416</v>
      </c>
      <c r="K12" s="1" t="s">
        <v>62</v>
      </c>
    </row>
    <row r="13" spans="1:11" ht="16.5" x14ac:dyDescent="0.3">
      <c r="A13" s="1">
        <v>0.03</v>
      </c>
      <c r="B13" s="1">
        <f>IF(C13&lt;&gt;"",$N$71,"")</f>
        <v>32</v>
      </c>
      <c r="C13" s="1" t="s">
        <v>62</v>
      </c>
      <c r="D13" s="1" t="str">
        <f>IF(E13&lt;&gt;"",$N$72,"")</f>
        <v/>
      </c>
      <c r="E13" s="1"/>
      <c r="F13" s="1">
        <f>IF(G13&lt;&gt;"",$N$73,"")</f>
        <v>224</v>
      </c>
      <c r="G13" s="1" t="s">
        <v>62</v>
      </c>
      <c r="H13" s="1" t="str">
        <f>IF(I13&lt;&gt;"",$N$74,"")</f>
        <v/>
      </c>
      <c r="I13" s="1"/>
      <c r="J13" s="1">
        <f>IF(K13&lt;&gt;"",$N$75,"")</f>
        <v>416</v>
      </c>
      <c r="K13" s="1" t="s">
        <v>62</v>
      </c>
    </row>
    <row r="14" spans="1:11" ht="16.5" x14ac:dyDescent="0.3">
      <c r="A14" s="1">
        <v>0.03</v>
      </c>
      <c r="B14" s="1">
        <f>IF(C14&lt;&gt;"",$N$71,"")</f>
        <v>32</v>
      </c>
      <c r="C14" s="1" t="s">
        <v>62</v>
      </c>
      <c r="D14" s="1" t="str">
        <f>IF(E14&lt;&gt;"",$N$72,"")</f>
        <v/>
      </c>
      <c r="E14" s="1"/>
      <c r="F14" s="1">
        <f>IF(G14&lt;&gt;"",$N$73,"")</f>
        <v>224</v>
      </c>
      <c r="G14" s="1" t="s">
        <v>62</v>
      </c>
      <c r="H14" s="1" t="str">
        <f>IF(I14&lt;&gt;"",$N$74,"")</f>
        <v/>
      </c>
      <c r="I14" s="1"/>
      <c r="J14" s="1">
        <f>IF(K14&lt;&gt;"",$N$75,"")</f>
        <v>416</v>
      </c>
      <c r="K14" s="1" t="s">
        <v>62</v>
      </c>
    </row>
    <row r="15" spans="1:11" ht="16.5" x14ac:dyDescent="0.3">
      <c r="A15" s="1">
        <v>0.03</v>
      </c>
      <c r="B15" s="1">
        <f>IF(C15&lt;&gt;"",$N$71,"")</f>
        <v>32</v>
      </c>
      <c r="C15" s="1" t="s">
        <v>62</v>
      </c>
      <c r="D15" s="1" t="str">
        <f>IF(E15&lt;&gt;"",$N$72,"")</f>
        <v/>
      </c>
      <c r="E15" s="1"/>
      <c r="F15" s="1">
        <f>IF(G15&lt;&gt;"",$N$73,"")</f>
        <v>224</v>
      </c>
      <c r="G15" s="1" t="s">
        <v>62</v>
      </c>
      <c r="H15" s="1" t="str">
        <f>IF(I15&lt;&gt;"",$N$74,"")</f>
        <v/>
      </c>
      <c r="I15" s="1"/>
      <c r="J15" s="1">
        <f>IF(K15&lt;&gt;"",$N$75,"")</f>
        <v>416</v>
      </c>
      <c r="K15" s="1" t="s">
        <v>62</v>
      </c>
    </row>
    <row r="16" spans="1:11" ht="16.5" x14ac:dyDescent="0.3">
      <c r="A16" s="1">
        <v>0.03</v>
      </c>
      <c r="B16" s="1">
        <f>IF(C16&lt;&gt;"",$N$71,"")</f>
        <v>32</v>
      </c>
      <c r="C16" s="1" t="s">
        <v>62</v>
      </c>
      <c r="D16" s="1" t="str">
        <f>IF(E16&lt;&gt;"",$N$72,"")</f>
        <v/>
      </c>
      <c r="E16" s="1"/>
      <c r="F16" s="1">
        <f>IF(G16&lt;&gt;"",$N$73,"")</f>
        <v>224</v>
      </c>
      <c r="G16" s="1" t="s">
        <v>62</v>
      </c>
      <c r="H16" s="1" t="str">
        <f>IF(I16&lt;&gt;"",$N$74,"")</f>
        <v/>
      </c>
      <c r="I16" s="1"/>
      <c r="J16" s="1">
        <f>IF(K16&lt;&gt;"",$N$75,"")</f>
        <v>416</v>
      </c>
      <c r="K16" s="1" t="s">
        <v>62</v>
      </c>
    </row>
    <row r="17" spans="1:11" ht="16.5" x14ac:dyDescent="0.3">
      <c r="A17" s="1">
        <v>0.03</v>
      </c>
      <c r="B17" s="1">
        <f>IF(C17&lt;&gt;"",$N$71,"")</f>
        <v>32</v>
      </c>
      <c r="C17" s="1" t="s">
        <v>62</v>
      </c>
      <c r="D17" s="1" t="str">
        <f>IF(E17&lt;&gt;"",$N$72,"")</f>
        <v/>
      </c>
      <c r="E17" s="1"/>
      <c r="F17" s="1">
        <f>IF(G17&lt;&gt;"",$N$73,"")</f>
        <v>224</v>
      </c>
      <c r="G17" s="1" t="s">
        <v>62</v>
      </c>
      <c r="H17" s="1" t="str">
        <f>IF(I17&lt;&gt;"",$N$74,"")</f>
        <v/>
      </c>
      <c r="I17" s="1"/>
      <c r="J17" s="1">
        <f>IF(K17&lt;&gt;"",$N$75,"")</f>
        <v>416</v>
      </c>
      <c r="K17" s="1" t="s">
        <v>62</v>
      </c>
    </row>
    <row r="18" spans="1:11" ht="16.5" x14ac:dyDescent="0.3">
      <c r="A18" s="1">
        <v>0.03</v>
      </c>
      <c r="B18" s="1">
        <f>IF(C18&lt;&gt;"",$N$71,"")</f>
        <v>32</v>
      </c>
      <c r="C18" s="1" t="s">
        <v>62</v>
      </c>
      <c r="D18" s="1" t="str">
        <f>IF(E18&lt;&gt;"",$N$72,"")</f>
        <v/>
      </c>
      <c r="E18" s="1"/>
      <c r="F18" s="1">
        <f>IF(G18&lt;&gt;"",$N$73,"")</f>
        <v>224</v>
      </c>
      <c r="G18" s="1" t="s">
        <v>62</v>
      </c>
      <c r="H18" s="1" t="str">
        <f>IF(I18&lt;&gt;"",$N$74,"")</f>
        <v/>
      </c>
      <c r="I18" s="1"/>
      <c r="J18" s="1">
        <f>IF(K18&lt;&gt;"",$N$75,"")</f>
        <v>416</v>
      </c>
      <c r="K18" s="1" t="s">
        <v>62</v>
      </c>
    </row>
    <row r="19" spans="1:11" ht="16.5" x14ac:dyDescent="0.3">
      <c r="A19" s="1">
        <v>0.03</v>
      </c>
      <c r="B19" s="1">
        <f>IF(C19&lt;&gt;"",$N$71,"")</f>
        <v>32</v>
      </c>
      <c r="C19" s="1" t="s">
        <v>62</v>
      </c>
      <c r="D19" s="1" t="str">
        <f>IF(E19&lt;&gt;"",$N$72,"")</f>
        <v/>
      </c>
      <c r="E19" s="1"/>
      <c r="F19" s="1">
        <f>IF(G19&lt;&gt;"",$N$73,"")</f>
        <v>224</v>
      </c>
      <c r="G19" s="1" t="s">
        <v>62</v>
      </c>
      <c r="H19" s="1" t="str">
        <f>IF(I19&lt;&gt;"",$N$74,"")</f>
        <v/>
      </c>
      <c r="I19" s="1"/>
      <c r="J19" s="1">
        <f>IF(K19&lt;&gt;"",$N$75,"")</f>
        <v>416</v>
      </c>
      <c r="K19" s="1" t="s">
        <v>62</v>
      </c>
    </row>
    <row r="20" spans="1:11" ht="16.5" x14ac:dyDescent="0.3">
      <c r="A20" s="1">
        <v>0.03</v>
      </c>
      <c r="B20" s="1">
        <f>IF(C20&lt;&gt;"",$N$71,"")</f>
        <v>32</v>
      </c>
      <c r="C20" s="1" t="s">
        <v>62</v>
      </c>
      <c r="D20" s="1" t="str">
        <f>IF(E20&lt;&gt;"",$N$72,"")</f>
        <v/>
      </c>
      <c r="E20" s="1"/>
      <c r="F20" s="1">
        <f>IF(G20&lt;&gt;"",$N$73,"")</f>
        <v>224</v>
      </c>
      <c r="G20" s="1" t="s">
        <v>62</v>
      </c>
      <c r="H20" s="1" t="str">
        <f>IF(I20&lt;&gt;"",$N$74,"")</f>
        <v/>
      </c>
      <c r="I20" s="1"/>
      <c r="J20" s="1">
        <f>IF(K20&lt;&gt;"",$N$75,"")</f>
        <v>416</v>
      </c>
      <c r="K20" s="1" t="s">
        <v>62</v>
      </c>
    </row>
    <row r="21" spans="1:11" ht="16.5" x14ac:dyDescent="0.3">
      <c r="A21" s="1">
        <v>0.03</v>
      </c>
      <c r="B21" s="1">
        <f>IF(C21&lt;&gt;"",$N$71,"")</f>
        <v>32</v>
      </c>
      <c r="C21" s="1" t="s">
        <v>62</v>
      </c>
      <c r="D21" s="1" t="str">
        <f>IF(E21&lt;&gt;"",$N$72,"")</f>
        <v/>
      </c>
      <c r="E21" s="1"/>
      <c r="F21" s="1">
        <f>IF(G21&lt;&gt;"",$N$73,"")</f>
        <v>224</v>
      </c>
      <c r="G21" s="1" t="s">
        <v>62</v>
      </c>
      <c r="H21" s="1" t="str">
        <f>IF(I21&lt;&gt;"",$N$74,"")</f>
        <v/>
      </c>
      <c r="I21" s="1"/>
      <c r="J21" s="1">
        <f>IF(K21&lt;&gt;"",$N$75,"")</f>
        <v>416</v>
      </c>
      <c r="K21" s="1" t="s">
        <v>62</v>
      </c>
    </row>
    <row r="22" spans="1:11" ht="16.5" x14ac:dyDescent="0.3">
      <c r="A22" s="1">
        <v>0.03</v>
      </c>
      <c r="B22" s="1">
        <f>IF(C22&lt;&gt;"",$N$71,"")</f>
        <v>32</v>
      </c>
      <c r="C22" s="1" t="s">
        <v>62</v>
      </c>
      <c r="D22" s="1" t="str">
        <f>IF(E22&lt;&gt;"",$N$72,"")</f>
        <v/>
      </c>
      <c r="E22" s="1"/>
      <c r="F22" s="1">
        <f>IF(G22&lt;&gt;"",$N$73,"")</f>
        <v>224</v>
      </c>
      <c r="G22" s="1" t="s">
        <v>62</v>
      </c>
      <c r="H22" s="1" t="str">
        <f>IF(I22&lt;&gt;"",$N$74,"")</f>
        <v/>
      </c>
      <c r="I22" s="1"/>
      <c r="J22" s="1">
        <f>IF(K22&lt;&gt;"",$N$75,"")</f>
        <v>416</v>
      </c>
      <c r="K22" s="1" t="s">
        <v>62</v>
      </c>
    </row>
    <row r="23" spans="1:11" ht="16.5" x14ac:dyDescent="0.3">
      <c r="A23" s="1">
        <v>0.03</v>
      </c>
      <c r="B23" s="1">
        <f>IF(C23&lt;&gt;"",$N$71,"")</f>
        <v>32</v>
      </c>
      <c r="C23" s="1" t="s">
        <v>62</v>
      </c>
      <c r="D23" s="1" t="str">
        <f>IF(E23&lt;&gt;"",$N$72,"")</f>
        <v/>
      </c>
      <c r="E23" s="1"/>
      <c r="F23" s="1">
        <f>IF(G23&lt;&gt;"",$N$73,"")</f>
        <v>224</v>
      </c>
      <c r="G23" s="1" t="s">
        <v>62</v>
      </c>
      <c r="H23" s="1" t="str">
        <f>IF(I23&lt;&gt;"",$N$74,"")</f>
        <v/>
      </c>
      <c r="I23" s="1"/>
      <c r="J23" s="1">
        <f>IF(K23&lt;&gt;"",$N$75,"")</f>
        <v>416</v>
      </c>
      <c r="K23" s="1" t="s">
        <v>62</v>
      </c>
    </row>
    <row r="24" spans="1:11" ht="16.5" x14ac:dyDescent="0.3">
      <c r="A24" s="1">
        <v>0.03</v>
      </c>
      <c r="B24" s="1">
        <f>IF(C24&lt;&gt;"",$N$71,"")</f>
        <v>32</v>
      </c>
      <c r="C24" s="1" t="s">
        <v>62</v>
      </c>
      <c r="D24" s="1" t="str">
        <f>IF(E24&lt;&gt;"",$N$72,"")</f>
        <v/>
      </c>
      <c r="E24" s="1"/>
      <c r="F24" s="1">
        <f>IF(G24&lt;&gt;"",$N$73,"")</f>
        <v>224</v>
      </c>
      <c r="G24" s="1" t="s">
        <v>62</v>
      </c>
      <c r="H24" s="1" t="str">
        <f>IF(I24&lt;&gt;"",$N$74,"")</f>
        <v/>
      </c>
      <c r="I24" s="1"/>
      <c r="J24" s="1">
        <f>IF(K24&lt;&gt;"",$N$75,"")</f>
        <v>416</v>
      </c>
      <c r="K24" s="1" t="s">
        <v>62</v>
      </c>
    </row>
    <row r="25" spans="1:11" ht="16.5" x14ac:dyDescent="0.3">
      <c r="A25" s="1">
        <v>0.03</v>
      </c>
      <c r="B25" s="1">
        <f>IF(C25&lt;&gt;"",$N$71,"")</f>
        <v>32</v>
      </c>
      <c r="C25" s="1" t="s">
        <v>62</v>
      </c>
      <c r="D25" s="1" t="str">
        <f>IF(E25&lt;&gt;"",$N$72,"")</f>
        <v/>
      </c>
      <c r="E25" s="1"/>
      <c r="F25" s="1">
        <f>IF(G25&lt;&gt;"",$N$73,"")</f>
        <v>224</v>
      </c>
      <c r="G25" s="1" t="s">
        <v>62</v>
      </c>
      <c r="H25" s="1" t="str">
        <f>IF(I25&lt;&gt;"",$N$74,"")</f>
        <v/>
      </c>
      <c r="I25" s="1"/>
      <c r="J25" s="1">
        <f>IF(K25&lt;&gt;"",$N$75,"")</f>
        <v>416</v>
      </c>
      <c r="K25" s="1" t="s">
        <v>62</v>
      </c>
    </row>
    <row r="26" spans="1:11" ht="16.5" x14ac:dyDescent="0.3">
      <c r="A26" s="1">
        <v>0.03</v>
      </c>
      <c r="B26" s="1">
        <f>IF(C26&lt;&gt;"",$N$71,"")</f>
        <v>32</v>
      </c>
      <c r="C26" s="1" t="s">
        <v>62</v>
      </c>
      <c r="D26" s="1" t="str">
        <f>IF(E26&lt;&gt;"",$N$72,"")</f>
        <v/>
      </c>
      <c r="E26" s="1"/>
      <c r="F26" s="1">
        <f>IF(G26&lt;&gt;"",$N$73,"")</f>
        <v>224</v>
      </c>
      <c r="G26" s="1" t="s">
        <v>62</v>
      </c>
      <c r="H26" s="1" t="str">
        <f>IF(I26&lt;&gt;"",$N$74,"")</f>
        <v/>
      </c>
      <c r="I26" s="1"/>
      <c r="J26" s="1">
        <f>IF(K26&lt;&gt;"",$N$75,"")</f>
        <v>416</v>
      </c>
      <c r="K26" s="1" t="s">
        <v>62</v>
      </c>
    </row>
    <row r="27" spans="1:11" ht="16.5" x14ac:dyDescent="0.3">
      <c r="A27" s="1">
        <v>0.03</v>
      </c>
      <c r="B27" s="1">
        <f>IF(C27&lt;&gt;"",$N$71,"")</f>
        <v>32</v>
      </c>
      <c r="C27" s="1" t="s">
        <v>62</v>
      </c>
      <c r="D27" s="1" t="str">
        <f>IF(E27&lt;&gt;"",$N$72,"")</f>
        <v/>
      </c>
      <c r="E27" s="1"/>
      <c r="F27" s="1">
        <f>IF(G27&lt;&gt;"",$N$73,"")</f>
        <v>224</v>
      </c>
      <c r="G27" s="1" t="s">
        <v>62</v>
      </c>
      <c r="H27" s="1" t="str">
        <f>IF(I27&lt;&gt;"",$N$74,"")</f>
        <v/>
      </c>
      <c r="I27" s="1"/>
      <c r="J27" s="1">
        <f>IF(K27&lt;&gt;"",$N$75,"")</f>
        <v>416</v>
      </c>
      <c r="K27" s="1" t="s">
        <v>62</v>
      </c>
    </row>
    <row r="28" spans="1:11" ht="16.5" x14ac:dyDescent="0.3">
      <c r="A28" s="1">
        <v>0.03</v>
      </c>
      <c r="B28" s="1">
        <f>IF(C28&lt;&gt;"",$N$71,"")</f>
        <v>32</v>
      </c>
      <c r="C28" s="1" t="s">
        <v>62</v>
      </c>
      <c r="D28" s="1" t="str">
        <f>IF(E28&lt;&gt;"",$N$72,"")</f>
        <v/>
      </c>
      <c r="E28" s="1"/>
      <c r="F28" s="1">
        <f>IF(G28&lt;&gt;"",$N$73,"")</f>
        <v>224</v>
      </c>
      <c r="G28" s="1" t="s">
        <v>62</v>
      </c>
      <c r="H28" s="1" t="str">
        <f>IF(I28&lt;&gt;"",$N$74,"")</f>
        <v/>
      </c>
      <c r="I28" s="1"/>
      <c r="J28" s="1">
        <f>IF(K28&lt;&gt;"",$N$75,"")</f>
        <v>416</v>
      </c>
      <c r="K28" s="1" t="s">
        <v>62</v>
      </c>
    </row>
    <row r="29" spans="1:11" ht="16.5" x14ac:dyDescent="0.3">
      <c r="A29" s="1">
        <v>0.03</v>
      </c>
      <c r="B29" s="1">
        <f>IF(C29&lt;&gt;"",$N$71,"")</f>
        <v>32</v>
      </c>
      <c r="C29" s="1" t="s">
        <v>62</v>
      </c>
      <c r="D29" s="1" t="str">
        <f>IF(E29&lt;&gt;"",$N$72,"")</f>
        <v/>
      </c>
      <c r="E29" s="1"/>
      <c r="F29" s="1">
        <f>IF(G29&lt;&gt;"",$N$73,"")</f>
        <v>224</v>
      </c>
      <c r="G29" s="1" t="s">
        <v>62</v>
      </c>
      <c r="H29" s="1" t="str">
        <f>IF(I29&lt;&gt;"",$N$74,"")</f>
        <v/>
      </c>
      <c r="I29" s="1"/>
      <c r="J29" s="1">
        <f>IF(K29&lt;&gt;"",$N$75,"")</f>
        <v>416</v>
      </c>
      <c r="K29" s="1" t="s">
        <v>62</v>
      </c>
    </row>
    <row r="30" spans="1:11" ht="16.5" x14ac:dyDescent="0.3">
      <c r="A30" s="1">
        <v>0.03</v>
      </c>
      <c r="B30" s="1">
        <f>IF(C30&lt;&gt;"",$N$71,"")</f>
        <v>32</v>
      </c>
      <c r="C30" s="1" t="s">
        <v>62</v>
      </c>
      <c r="D30" s="1" t="str">
        <f>IF(E30&lt;&gt;"",$N$72,"")</f>
        <v/>
      </c>
      <c r="E30" s="1"/>
      <c r="F30" s="1">
        <f>IF(G30&lt;&gt;"",$N$73,"")</f>
        <v>224</v>
      </c>
      <c r="G30" s="1" t="s">
        <v>62</v>
      </c>
      <c r="H30" s="1" t="str">
        <f>IF(I30&lt;&gt;"",$N$74,"")</f>
        <v/>
      </c>
      <c r="I30" s="1"/>
      <c r="J30" s="1">
        <f>IF(K30&lt;&gt;"",$N$75,"")</f>
        <v>416</v>
      </c>
      <c r="K30" s="1" t="s">
        <v>62</v>
      </c>
    </row>
    <row r="31" spans="1:11" ht="16.5" x14ac:dyDescent="0.3">
      <c r="A31" s="1">
        <v>0.03</v>
      </c>
      <c r="B31" s="1">
        <f>IF(C31&lt;&gt;"",$N$71,"")</f>
        <v>32</v>
      </c>
      <c r="C31" s="1" t="s">
        <v>62</v>
      </c>
      <c r="D31" s="1" t="str">
        <f>IF(E31&lt;&gt;"",$N$72,"")</f>
        <v/>
      </c>
      <c r="E31" s="1"/>
      <c r="F31" s="1">
        <f>IF(G31&lt;&gt;"",$N$73,"")</f>
        <v>224</v>
      </c>
      <c r="G31" s="1" t="s">
        <v>62</v>
      </c>
      <c r="H31" s="1" t="str">
        <f>IF(I31&lt;&gt;"",$N$74,"")</f>
        <v/>
      </c>
      <c r="I31" s="1"/>
      <c r="J31" s="1">
        <f>IF(K31&lt;&gt;"",$N$75,"")</f>
        <v>416</v>
      </c>
      <c r="K31" s="1" t="s">
        <v>62</v>
      </c>
    </row>
    <row r="32" spans="1:11" ht="16.5" x14ac:dyDescent="0.3">
      <c r="A32" s="1">
        <v>0.03</v>
      </c>
      <c r="B32" s="1">
        <f>IF(C32&lt;&gt;"",$N$71,"")</f>
        <v>32</v>
      </c>
      <c r="C32" s="1" t="s">
        <v>62</v>
      </c>
      <c r="D32" s="1" t="str">
        <f>IF(E32&lt;&gt;"",$N$72,"")</f>
        <v/>
      </c>
      <c r="E32" s="1"/>
      <c r="F32" s="1">
        <f>IF(G32&lt;&gt;"",$N$73,"")</f>
        <v>224</v>
      </c>
      <c r="G32" s="1" t="s">
        <v>62</v>
      </c>
      <c r="H32" s="1" t="str">
        <f>IF(I32&lt;&gt;"",$N$74,"")</f>
        <v/>
      </c>
      <c r="I32" s="1"/>
      <c r="J32" s="1">
        <f>IF(K32&lt;&gt;"",$N$75,"")</f>
        <v>416</v>
      </c>
      <c r="K32" s="1" t="s">
        <v>62</v>
      </c>
    </row>
    <row r="33" spans="1:11" ht="16.5" x14ac:dyDescent="0.3">
      <c r="A33" s="1">
        <v>0.03</v>
      </c>
      <c r="B33" s="1">
        <f>IF(C33&lt;&gt;"",$N$71,"")</f>
        <v>32</v>
      </c>
      <c r="C33" s="1" t="s">
        <v>62</v>
      </c>
      <c r="D33" s="1" t="str">
        <f>IF(E33&lt;&gt;"",$N$72,"")</f>
        <v/>
      </c>
      <c r="E33" s="1"/>
      <c r="F33" s="1">
        <f>IF(G33&lt;&gt;"",$N$73,"")</f>
        <v>224</v>
      </c>
      <c r="G33" s="1" t="s">
        <v>62</v>
      </c>
      <c r="H33" s="1" t="str">
        <f>IF(I33&lt;&gt;"",$N$74,"")</f>
        <v/>
      </c>
      <c r="I33" s="1"/>
      <c r="J33" s="1">
        <f>IF(K33&lt;&gt;"",$N$75,"")</f>
        <v>416</v>
      </c>
      <c r="K33" s="1" t="s">
        <v>62</v>
      </c>
    </row>
    <row r="34" spans="1:11" ht="16.5" x14ac:dyDescent="0.3">
      <c r="A34" s="1">
        <v>0.03</v>
      </c>
      <c r="B34" s="1">
        <f>IF(C34&lt;&gt;"",$N$71,"")</f>
        <v>32</v>
      </c>
      <c r="C34" s="1" t="s">
        <v>62</v>
      </c>
      <c r="D34" s="1" t="str">
        <f>IF(E34&lt;&gt;"",$N$72,"")</f>
        <v/>
      </c>
      <c r="E34" s="1"/>
      <c r="F34" s="1">
        <f>IF(G34&lt;&gt;"",$N$73,"")</f>
        <v>224</v>
      </c>
      <c r="G34" s="1" t="s">
        <v>62</v>
      </c>
      <c r="H34" s="1" t="str">
        <f>IF(I34&lt;&gt;"",$N$74,"")</f>
        <v/>
      </c>
      <c r="I34" s="1"/>
      <c r="J34" s="1">
        <f>IF(K34&lt;&gt;"",$N$75,"")</f>
        <v>416</v>
      </c>
      <c r="K34" s="1" t="s">
        <v>62</v>
      </c>
    </row>
    <row r="35" spans="1:11" ht="16.5" x14ac:dyDescent="0.3">
      <c r="A35" s="1">
        <v>0.03</v>
      </c>
      <c r="B35" s="1">
        <f>IF(C35&lt;&gt;"",$N$71,"")</f>
        <v>32</v>
      </c>
      <c r="C35" s="1" t="s">
        <v>62</v>
      </c>
      <c r="D35" s="1" t="str">
        <f>IF(E35&lt;&gt;"",$N$72,"")</f>
        <v/>
      </c>
      <c r="E35" s="1"/>
      <c r="F35" s="1">
        <f>IF(G35&lt;&gt;"",$N$73,"")</f>
        <v>224</v>
      </c>
      <c r="G35" s="1" t="s">
        <v>62</v>
      </c>
      <c r="H35" s="1" t="str">
        <f>IF(I35&lt;&gt;"",$N$74,"")</f>
        <v/>
      </c>
      <c r="I35" s="1"/>
      <c r="J35" s="1">
        <f>IF(K35&lt;&gt;"",$N$75,"")</f>
        <v>416</v>
      </c>
      <c r="K35" s="1" t="s">
        <v>62</v>
      </c>
    </row>
    <row r="36" spans="1:11" ht="16.5" x14ac:dyDescent="0.3">
      <c r="A36" s="1">
        <v>0.03</v>
      </c>
      <c r="B36" s="1">
        <f>IF(C36&lt;&gt;"",$N$71,"")</f>
        <v>32</v>
      </c>
      <c r="C36" s="1" t="s">
        <v>62</v>
      </c>
      <c r="D36" s="1" t="str">
        <f>IF(E36&lt;&gt;"",$N$72,"")</f>
        <v/>
      </c>
      <c r="E36" s="1"/>
      <c r="F36" s="1">
        <f>IF(G36&lt;&gt;"",$N$73,"")</f>
        <v>224</v>
      </c>
      <c r="G36" s="1" t="s">
        <v>62</v>
      </c>
      <c r="H36" s="1" t="str">
        <f>IF(I36&lt;&gt;"",$N$74,"")</f>
        <v/>
      </c>
      <c r="I36" s="1"/>
      <c r="J36" s="1">
        <f>IF(K36&lt;&gt;"",$N$75,"")</f>
        <v>416</v>
      </c>
      <c r="K36" s="1" t="s">
        <v>62</v>
      </c>
    </row>
    <row r="37" spans="1:11" ht="16.5" x14ac:dyDescent="0.3">
      <c r="A37" s="1">
        <v>0.03</v>
      </c>
      <c r="B37" s="1">
        <f>IF(C37&lt;&gt;"",$N$71,"")</f>
        <v>32</v>
      </c>
      <c r="C37" s="1" t="s">
        <v>62</v>
      </c>
      <c r="D37" s="1" t="str">
        <f>IF(E37&lt;&gt;"",$N$72,"")</f>
        <v/>
      </c>
      <c r="E37" s="1"/>
      <c r="F37" s="1">
        <f>IF(G37&lt;&gt;"",$N$73,"")</f>
        <v>224</v>
      </c>
      <c r="G37" s="1" t="s">
        <v>62</v>
      </c>
      <c r="H37" s="1" t="str">
        <f>IF(I37&lt;&gt;"",$N$74,"")</f>
        <v/>
      </c>
      <c r="I37" s="1"/>
      <c r="J37" s="1">
        <f>IF(K37&lt;&gt;"",$N$75,"")</f>
        <v>416</v>
      </c>
      <c r="K37" s="1" t="s">
        <v>62</v>
      </c>
    </row>
    <row r="38" spans="1:11" ht="16.5" x14ac:dyDescent="0.3">
      <c r="A38" s="1">
        <v>0.03</v>
      </c>
      <c r="B38" s="1">
        <f>IF(C38&lt;&gt;"",$N$71,"")</f>
        <v>32</v>
      </c>
      <c r="C38" s="1" t="s">
        <v>62</v>
      </c>
      <c r="D38" s="1" t="str">
        <f>IF(E38&lt;&gt;"",$N$72,"")</f>
        <v/>
      </c>
      <c r="E38" s="1"/>
      <c r="F38" s="1">
        <f>IF(G38&lt;&gt;"",$N$73,"")</f>
        <v>224</v>
      </c>
      <c r="G38" s="1" t="s">
        <v>62</v>
      </c>
      <c r="H38" s="1" t="str">
        <f>IF(I38&lt;&gt;"",$N$74,"")</f>
        <v/>
      </c>
      <c r="I38" s="1"/>
      <c r="J38" s="1">
        <f>IF(K38&lt;&gt;"",$N$75,"")</f>
        <v>416</v>
      </c>
      <c r="K38" s="1" t="s">
        <v>62</v>
      </c>
    </row>
    <row r="39" spans="1:11" ht="16.5" x14ac:dyDescent="0.3">
      <c r="A39" s="1">
        <v>0.03</v>
      </c>
      <c r="B39" s="1">
        <f>IF(C39&lt;&gt;"",$N$71,"")</f>
        <v>32</v>
      </c>
      <c r="C39" s="1" t="s">
        <v>62</v>
      </c>
      <c r="D39" s="1" t="str">
        <f>IF(E39&lt;&gt;"",$N$72,"")</f>
        <v/>
      </c>
      <c r="E39" s="1"/>
      <c r="F39" s="1">
        <f>IF(G39&lt;&gt;"",$N$73,"")</f>
        <v>224</v>
      </c>
      <c r="G39" s="1" t="s">
        <v>62</v>
      </c>
      <c r="H39" s="1" t="str">
        <f>IF(I39&lt;&gt;"",$N$74,"")</f>
        <v/>
      </c>
      <c r="I39" s="1"/>
      <c r="J39" s="1">
        <f>IF(K39&lt;&gt;"",$N$75,"")</f>
        <v>416</v>
      </c>
      <c r="K39" s="1" t="s">
        <v>62</v>
      </c>
    </row>
    <row r="40" spans="1:11" ht="16.5" x14ac:dyDescent="0.3">
      <c r="A40" s="1">
        <v>0.03</v>
      </c>
      <c r="B40" s="1">
        <f>IF(C40&lt;&gt;"",$N$71,"")</f>
        <v>32</v>
      </c>
      <c r="C40" s="1" t="s">
        <v>62</v>
      </c>
      <c r="D40" s="1" t="str">
        <f>IF(E40&lt;&gt;"",$N$72,"")</f>
        <v/>
      </c>
      <c r="E40" s="1"/>
      <c r="F40" s="1">
        <f>IF(G40&lt;&gt;"",$N$73,"")</f>
        <v>224</v>
      </c>
      <c r="G40" s="1" t="s">
        <v>62</v>
      </c>
      <c r="H40" s="1" t="str">
        <f>IF(I40&lt;&gt;"",$N$74,"")</f>
        <v/>
      </c>
      <c r="I40" s="1"/>
      <c r="J40" s="1">
        <f>IF(K40&lt;&gt;"",$N$75,"")</f>
        <v>416</v>
      </c>
      <c r="K40" s="1" t="s">
        <v>62</v>
      </c>
    </row>
    <row r="41" spans="1:11" ht="16.5" x14ac:dyDescent="0.3">
      <c r="A41" s="1">
        <v>0.03</v>
      </c>
      <c r="B41" s="1">
        <f>IF(C41&lt;&gt;"",$N$71,"")</f>
        <v>32</v>
      </c>
      <c r="C41" s="1" t="s">
        <v>62</v>
      </c>
      <c r="D41" s="1" t="str">
        <f>IF(E41&lt;&gt;"",$N$72,"")</f>
        <v/>
      </c>
      <c r="E41" s="1"/>
      <c r="F41" s="1">
        <f>IF(G41&lt;&gt;"",$N$73,"")</f>
        <v>224</v>
      </c>
      <c r="G41" s="1" t="s">
        <v>62</v>
      </c>
      <c r="H41" s="1" t="str">
        <f>IF(I41&lt;&gt;"",$N$74,"")</f>
        <v/>
      </c>
      <c r="I41" s="1"/>
      <c r="J41" s="1">
        <f>IF(K41&lt;&gt;"",$N$75,"")</f>
        <v>416</v>
      </c>
      <c r="K41" s="1" t="s">
        <v>62</v>
      </c>
    </row>
    <row r="42" spans="1:11" ht="16.5" x14ac:dyDescent="0.3">
      <c r="A42" s="1">
        <v>0.03</v>
      </c>
      <c r="B42" s="1">
        <f>IF(C42&lt;&gt;"",$N$71,"")</f>
        <v>32</v>
      </c>
      <c r="C42" s="1" t="s">
        <v>62</v>
      </c>
      <c r="D42" s="1" t="str">
        <f>IF(E42&lt;&gt;"",$N$72,"")</f>
        <v/>
      </c>
      <c r="E42" s="1"/>
      <c r="F42" s="1">
        <f>IF(G42&lt;&gt;"",$N$73,"")</f>
        <v>224</v>
      </c>
      <c r="G42" s="1" t="s">
        <v>62</v>
      </c>
      <c r="H42" s="1" t="str">
        <f>IF(I42&lt;&gt;"",$N$74,"")</f>
        <v/>
      </c>
      <c r="I42" s="1"/>
      <c r="J42" s="1">
        <f>IF(K42&lt;&gt;"",$N$75,"")</f>
        <v>416</v>
      </c>
      <c r="K42" s="1" t="s">
        <v>62</v>
      </c>
    </row>
    <row r="43" spans="1:11" ht="16.5" x14ac:dyDescent="0.3">
      <c r="A43" s="1">
        <v>0.03</v>
      </c>
      <c r="B43" s="1">
        <f>IF(C43&lt;&gt;"",$N$71,"")</f>
        <v>32</v>
      </c>
      <c r="C43" s="1" t="s">
        <v>62</v>
      </c>
      <c r="D43" s="1" t="str">
        <f>IF(E43&lt;&gt;"",$N$72,"")</f>
        <v/>
      </c>
      <c r="E43" s="1"/>
      <c r="F43" s="1">
        <f>IF(G43&lt;&gt;"",$N$73,"")</f>
        <v>224</v>
      </c>
      <c r="G43" s="1" t="s">
        <v>62</v>
      </c>
      <c r="H43" s="1" t="str">
        <f>IF(I43&lt;&gt;"",$N$74,"")</f>
        <v/>
      </c>
      <c r="I43" s="1"/>
      <c r="J43" s="1">
        <f>IF(K43&lt;&gt;"",$N$75,"")</f>
        <v>416</v>
      </c>
      <c r="K43" s="1" t="s">
        <v>62</v>
      </c>
    </row>
    <row r="44" spans="1:11" ht="16.5" x14ac:dyDescent="0.3">
      <c r="A44" s="1">
        <v>0.03</v>
      </c>
      <c r="B44" s="1">
        <f>IF(C44&lt;&gt;"",$N$71,"")</f>
        <v>32</v>
      </c>
      <c r="C44" s="1" t="s">
        <v>62</v>
      </c>
      <c r="D44" s="1" t="str">
        <f>IF(E44&lt;&gt;"",$N$72,"")</f>
        <v/>
      </c>
      <c r="E44" s="1"/>
      <c r="F44" s="1">
        <f>IF(G44&lt;&gt;"",$N$73,"")</f>
        <v>224</v>
      </c>
      <c r="G44" s="1" t="s">
        <v>62</v>
      </c>
      <c r="H44" s="1" t="str">
        <f>IF(I44&lt;&gt;"",$N$74,"")</f>
        <v/>
      </c>
      <c r="I44" s="1"/>
      <c r="J44" s="1">
        <f>IF(K44&lt;&gt;"",$N$75,"")</f>
        <v>416</v>
      </c>
      <c r="K44" s="1" t="s">
        <v>62</v>
      </c>
    </row>
    <row r="45" spans="1:11" ht="16.5" x14ac:dyDescent="0.3">
      <c r="A45" s="1">
        <v>0.03</v>
      </c>
      <c r="B45" s="1">
        <f>IF(C45&lt;&gt;"",$N$71,"")</f>
        <v>32</v>
      </c>
      <c r="C45" s="1" t="s">
        <v>62</v>
      </c>
      <c r="D45" s="1" t="str">
        <f>IF(E45&lt;&gt;"",$N$72,"")</f>
        <v/>
      </c>
      <c r="E45" s="1"/>
      <c r="F45" s="1">
        <f>IF(G45&lt;&gt;"",$N$73,"")</f>
        <v>224</v>
      </c>
      <c r="G45" s="1" t="s">
        <v>62</v>
      </c>
      <c r="H45" s="1" t="str">
        <f>IF(I45&lt;&gt;"",$N$74,"")</f>
        <v/>
      </c>
      <c r="I45" s="1"/>
      <c r="J45" s="1">
        <f>IF(K45&lt;&gt;"",$N$75,"")</f>
        <v>416</v>
      </c>
      <c r="K45" s="1" t="s">
        <v>62</v>
      </c>
    </row>
    <row r="46" spans="1:11" ht="16.5" x14ac:dyDescent="0.3">
      <c r="A46" s="1">
        <v>0.03</v>
      </c>
      <c r="B46" s="1">
        <f>IF(C46&lt;&gt;"",$N$71,"")</f>
        <v>32</v>
      </c>
      <c r="C46" s="1" t="s">
        <v>62</v>
      </c>
      <c r="D46" s="1" t="str">
        <f>IF(E46&lt;&gt;"",$N$72,"")</f>
        <v/>
      </c>
      <c r="E46" s="1"/>
      <c r="F46" s="1">
        <f>IF(G46&lt;&gt;"",$N$73,"")</f>
        <v>224</v>
      </c>
      <c r="G46" s="1" t="s">
        <v>62</v>
      </c>
      <c r="H46" s="1" t="str">
        <f>IF(I46&lt;&gt;"",$N$74,"")</f>
        <v/>
      </c>
      <c r="I46" s="1"/>
      <c r="J46" s="1">
        <f>IF(K46&lt;&gt;"",$N$75,"")</f>
        <v>416</v>
      </c>
      <c r="K46" s="1" t="s">
        <v>62</v>
      </c>
    </row>
    <row r="47" spans="1:11" ht="16.5" x14ac:dyDescent="0.3">
      <c r="A47" s="1">
        <v>0.03</v>
      </c>
      <c r="B47" s="1">
        <f>IF(C47&lt;&gt;"",$N$71,"")</f>
        <v>32</v>
      </c>
      <c r="C47" s="1" t="s">
        <v>62</v>
      </c>
      <c r="D47" s="1" t="str">
        <f>IF(E47&lt;&gt;"",$N$72,"")</f>
        <v/>
      </c>
      <c r="E47" s="1"/>
      <c r="F47" s="1">
        <f>IF(G47&lt;&gt;"",$N$73,"")</f>
        <v>224</v>
      </c>
      <c r="G47" s="1" t="s">
        <v>62</v>
      </c>
      <c r="H47" s="1" t="str">
        <f>IF(I47&lt;&gt;"",$N$74,"")</f>
        <v/>
      </c>
      <c r="I47" s="1"/>
      <c r="J47" s="1">
        <f>IF(K47&lt;&gt;"",$N$75,"")</f>
        <v>416</v>
      </c>
      <c r="K47" s="1" t="s">
        <v>62</v>
      </c>
    </row>
    <row r="48" spans="1:11" ht="16.5" x14ac:dyDescent="0.3">
      <c r="A48" s="1">
        <v>1</v>
      </c>
      <c r="B48" s="1" t="s">
        <v>47</v>
      </c>
      <c r="C48" s="1"/>
      <c r="D48" s="1" t="str">
        <f>IF(E48&lt;&gt;"",$N$72,"")</f>
        <v/>
      </c>
      <c r="E48" s="1"/>
      <c r="F48" s="1"/>
      <c r="G48" s="1"/>
      <c r="H48" s="1"/>
      <c r="I48" s="1"/>
      <c r="J48" s="1" t="str">
        <f>IF(K48&lt;&gt;"",$N$75,"")</f>
        <v/>
      </c>
      <c r="K48" s="1"/>
    </row>
    <row r="49" spans="1:11" ht="16.5" x14ac:dyDescent="0.3">
      <c r="A49" s="1">
        <v>0.03</v>
      </c>
      <c r="B49" s="1">
        <f>IF(C49&lt;&gt;"",$N$71,"")</f>
        <v>32</v>
      </c>
      <c r="C49" s="1" t="s">
        <v>67</v>
      </c>
      <c r="D49" s="1">
        <f>IF(E49&lt;&gt;"",$N$72,"")</f>
        <v>128</v>
      </c>
      <c r="E49" s="1" t="s">
        <v>63</v>
      </c>
      <c r="F49" s="1">
        <f>IF(G49&lt;&gt;"",$N$73,"")</f>
        <v>224</v>
      </c>
      <c r="G49" s="1" t="s">
        <v>67</v>
      </c>
      <c r="H49" s="1">
        <f>IF(I49&lt;&gt;"",$N$74,"")</f>
        <v>320</v>
      </c>
      <c r="I49" s="1" t="s">
        <v>63</v>
      </c>
      <c r="J49" s="1">
        <f>IF(K49&lt;&gt;"",$N$75,"")</f>
        <v>416</v>
      </c>
      <c r="K49" s="1" t="s">
        <v>67</v>
      </c>
    </row>
    <row r="50" spans="1:11" ht="16.5" x14ac:dyDescent="0.3">
      <c r="A50" s="1">
        <v>0.03</v>
      </c>
      <c r="B50" s="1" t="str">
        <f>IF(C50&lt;&gt;"",$N$71,"")</f>
        <v/>
      </c>
      <c r="C50" s="1"/>
      <c r="D50" s="1">
        <f>IF(E50&lt;&gt;"",$N$72,"")</f>
        <v>128</v>
      </c>
      <c r="E50" s="1" t="s">
        <v>67</v>
      </c>
      <c r="F50" s="1" t="str">
        <f>IF(G50&lt;&gt;"",$N$73,"")</f>
        <v/>
      </c>
      <c r="G50" s="1"/>
      <c r="H50" s="1">
        <f>IF(I50&lt;&gt;"",$N$74,"")</f>
        <v>320</v>
      </c>
      <c r="I50" s="1" t="s">
        <v>67</v>
      </c>
      <c r="J50" s="1" t="str">
        <f>IF(K50&lt;&gt;"",$N$75,"")</f>
        <v/>
      </c>
      <c r="K50" s="1"/>
    </row>
    <row r="51" spans="1:11" ht="16.5" x14ac:dyDescent="0.3">
      <c r="A51" s="1">
        <v>0.03</v>
      </c>
      <c r="B51" s="1">
        <f>IF(C51&lt;&gt;"",$N$71,"")</f>
        <v>32</v>
      </c>
      <c r="C51" s="1" t="s">
        <v>62</v>
      </c>
      <c r="D51" s="1" t="str">
        <f>IF(E51&lt;&gt;"",$N$72,"")</f>
        <v/>
      </c>
      <c r="E51" s="1"/>
      <c r="F51" s="1">
        <f>IF(G51&lt;&gt;"",$N$73,"")</f>
        <v>224</v>
      </c>
      <c r="G51" s="1" t="s">
        <v>62</v>
      </c>
      <c r="H51" s="1" t="str">
        <f>IF(I51&lt;&gt;"",$N$74,"")</f>
        <v/>
      </c>
      <c r="I51" s="1"/>
      <c r="J51" s="1">
        <f>IF(K51&lt;&gt;"",$N$75,"")</f>
        <v>416</v>
      </c>
      <c r="K51" s="1" t="s">
        <v>62</v>
      </c>
    </row>
    <row r="52" spans="1:11" ht="16.5" x14ac:dyDescent="0.3">
      <c r="A52" s="1">
        <v>0.1</v>
      </c>
      <c r="B52" s="1" t="str">
        <f>IF(C52&lt;&gt;"",$N$71,"")</f>
        <v/>
      </c>
      <c r="C52" s="1"/>
      <c r="D52" s="1">
        <f>IF(E52&lt;&gt;"",$N$72,"")</f>
        <v>128</v>
      </c>
      <c r="E52" s="1" t="s">
        <v>45</v>
      </c>
      <c r="F52" s="1" t="str">
        <f>IF(G52&lt;&gt;"",$N$70,"")</f>
        <v/>
      </c>
      <c r="G52" s="1"/>
      <c r="H52" s="1">
        <f>IF(I52&lt;&gt;"",$N$74,"")</f>
        <v>320</v>
      </c>
      <c r="I52" s="1" t="s">
        <v>45</v>
      </c>
      <c r="J52" s="1" t="str">
        <f>IF(K52&lt;&gt;"",$N$72,"")</f>
        <v/>
      </c>
      <c r="K52" s="1"/>
    </row>
    <row r="53" spans="1:11" ht="16.5" x14ac:dyDescent="0.3">
      <c r="A53" s="1">
        <v>1</v>
      </c>
      <c r="B53" s="1" t="s">
        <v>46</v>
      </c>
      <c r="C53" s="1"/>
      <c r="D53" s="1" t="str">
        <f>IF(E53&lt;&gt;"",$N$72,"")</f>
        <v/>
      </c>
      <c r="E53" s="1"/>
      <c r="F53" s="1"/>
      <c r="G53" s="1"/>
      <c r="H53" s="1"/>
      <c r="I53" s="1"/>
      <c r="J53" s="1" t="str">
        <f>IF(K53&lt;&gt;"",$N$75,"")</f>
        <v/>
      </c>
      <c r="K53" s="1"/>
    </row>
    <row r="54" spans="1:11" ht="16.5" x14ac:dyDescent="0.3">
      <c r="A54" s="1">
        <v>0.03</v>
      </c>
      <c r="B54" s="1">
        <f>IF(C54&lt;&gt;"",$N$71,"")</f>
        <v>32</v>
      </c>
      <c r="C54" s="1" t="s">
        <v>67</v>
      </c>
      <c r="D54" s="1">
        <f>IF(E54&lt;&gt;"",$N$72,"")</f>
        <v>128</v>
      </c>
      <c r="E54" s="1" t="s">
        <v>63</v>
      </c>
      <c r="F54" s="1">
        <f>IF(G54&lt;&gt;"",$N$73,"")</f>
        <v>224</v>
      </c>
      <c r="G54" s="1" t="s">
        <v>67</v>
      </c>
      <c r="H54" s="1">
        <f>IF(I54&lt;&gt;"",$N$74,"")</f>
        <v>320</v>
      </c>
      <c r="I54" s="1" t="s">
        <v>63</v>
      </c>
      <c r="J54" s="1">
        <f>IF(K54&lt;&gt;"",$N$75,"")</f>
        <v>416</v>
      </c>
      <c r="K54" s="1" t="s">
        <v>67</v>
      </c>
    </row>
    <row r="55" spans="1:11" ht="16.5" x14ac:dyDescent="0.3">
      <c r="A55" s="1">
        <v>0.03</v>
      </c>
      <c r="B55" s="1" t="str">
        <f>IF(C55&lt;&gt;"",$N$71,"")</f>
        <v/>
      </c>
      <c r="C55" s="1"/>
      <c r="D55" s="1">
        <f>IF(E55&lt;&gt;"",$N$72,"")</f>
        <v>128</v>
      </c>
      <c r="E55" s="1" t="s">
        <v>67</v>
      </c>
      <c r="F55" s="1" t="str">
        <f>IF(G55&lt;&gt;"",$N$73,"")</f>
        <v/>
      </c>
      <c r="G55" s="1"/>
      <c r="H55" s="1">
        <f>IF(I55&lt;&gt;"",$N$74,"")</f>
        <v>320</v>
      </c>
      <c r="I55" s="1" t="s">
        <v>67</v>
      </c>
      <c r="J55" s="1" t="str">
        <f>IF(K55&lt;&gt;"",$N$75,"")</f>
        <v/>
      </c>
      <c r="K55" s="1"/>
    </row>
    <row r="56" spans="1:11" ht="16.5" x14ac:dyDescent="0.3">
      <c r="A56" s="1">
        <v>0.03</v>
      </c>
      <c r="B56" s="1">
        <f>IF(C56&lt;&gt;"",$N$71,"")</f>
        <v>32</v>
      </c>
      <c r="C56" s="1" t="s">
        <v>62</v>
      </c>
      <c r="D56" s="1" t="str">
        <f>IF(E56&lt;&gt;"",$N$72,"")</f>
        <v/>
      </c>
      <c r="E56" s="1"/>
      <c r="F56" s="1">
        <f>IF(G56&lt;&gt;"",$N$73,"")</f>
        <v>224</v>
      </c>
      <c r="G56" s="1" t="s">
        <v>62</v>
      </c>
      <c r="H56" s="1" t="str">
        <f>IF(I56&lt;&gt;"",$N$74,"")</f>
        <v/>
      </c>
      <c r="I56" s="1"/>
      <c r="J56" s="1">
        <f>IF(K56&lt;&gt;"",$N$75,"")</f>
        <v>416</v>
      </c>
      <c r="K56" s="1" t="s">
        <v>62</v>
      </c>
    </row>
    <row r="57" spans="1:11" ht="16.5" x14ac:dyDescent="0.3">
      <c r="A57" s="1">
        <v>0.1</v>
      </c>
      <c r="B57" s="1" t="str">
        <f>IF(C57&lt;&gt;"",$N$71,"")</f>
        <v/>
      </c>
      <c r="C57" s="1"/>
      <c r="D57" s="1">
        <f>IF(E57&lt;&gt;"",$N$72,"")</f>
        <v>128</v>
      </c>
      <c r="E57" s="1" t="s">
        <v>45</v>
      </c>
      <c r="F57" s="1" t="str">
        <f>IF(G57&lt;&gt;"",$N$70,"")</f>
        <v/>
      </c>
      <c r="G57" s="1"/>
      <c r="H57" s="1">
        <f>IF(I57&lt;&gt;"",$N$74,"")</f>
        <v>320</v>
      </c>
      <c r="I57" s="1" t="s">
        <v>45</v>
      </c>
      <c r="J57" s="1" t="str">
        <f>IF(K57&lt;&gt;"",$N$75,"")</f>
        <v/>
      </c>
      <c r="K57" s="1"/>
    </row>
    <row r="58" spans="1:11" ht="16.5" x14ac:dyDescent="0.3">
      <c r="A58" s="1">
        <v>0.03</v>
      </c>
      <c r="B58" s="1">
        <f>IF(C58&lt;&gt;"",$N$71,"")</f>
        <v>32</v>
      </c>
      <c r="C58" s="1" t="s">
        <v>62</v>
      </c>
      <c r="D58" s="1" t="str">
        <f>IF(E58&lt;&gt;"",$N$72,"")</f>
        <v/>
      </c>
      <c r="E58" s="1"/>
      <c r="F58" s="1">
        <f>IF(G58&lt;&gt;"",$N$73,"")</f>
        <v>224</v>
      </c>
      <c r="G58" s="1" t="s">
        <v>62</v>
      </c>
      <c r="H58" s="1" t="str">
        <f>IF(I58&lt;&gt;"",$N$74,"")</f>
        <v/>
      </c>
      <c r="I58" s="1"/>
      <c r="J58" s="1">
        <f>IF(K58&lt;&gt;"",$N$75,"")</f>
        <v>416</v>
      </c>
      <c r="K58" s="1" t="s">
        <v>62</v>
      </c>
    </row>
    <row r="59" spans="1:11" ht="16.5" x14ac:dyDescent="0.3">
      <c r="A59" s="1">
        <v>0.03</v>
      </c>
      <c r="B59" s="1">
        <f>IF(C59&lt;&gt;"",$N$71,"")</f>
        <v>32</v>
      </c>
      <c r="C59" s="1" t="s">
        <v>62</v>
      </c>
      <c r="D59" s="1" t="str">
        <f>IF(E59&lt;&gt;"",$N$72,"")</f>
        <v/>
      </c>
      <c r="E59" s="1"/>
      <c r="F59" s="1">
        <f>IF(G59&lt;&gt;"",$N$73,"")</f>
        <v>224</v>
      </c>
      <c r="G59" s="1" t="s">
        <v>62</v>
      </c>
      <c r="H59" s="1" t="str">
        <f>IF(I59&lt;&gt;"",$N$74,"")</f>
        <v/>
      </c>
      <c r="I59" s="1"/>
      <c r="J59" s="1">
        <f>IF(K59&lt;&gt;"",$N$75,"")</f>
        <v>416</v>
      </c>
      <c r="K59" s="1" t="s">
        <v>62</v>
      </c>
    </row>
    <row r="60" spans="1:11" ht="16.5" x14ac:dyDescent="0.3">
      <c r="A60" s="1">
        <v>0.03</v>
      </c>
      <c r="B60" s="1">
        <f>IF(C60&lt;&gt;"",$N$71,"")</f>
        <v>32</v>
      </c>
      <c r="C60" s="1" t="s">
        <v>62</v>
      </c>
      <c r="D60" s="1" t="str">
        <f>IF(E60&lt;&gt;"",$N$72,"")</f>
        <v/>
      </c>
      <c r="E60" s="1"/>
      <c r="F60" s="1">
        <f>IF(G60&lt;&gt;"",$N$73,"")</f>
        <v>224</v>
      </c>
      <c r="G60" s="1" t="s">
        <v>62</v>
      </c>
      <c r="H60" s="1" t="str">
        <f>IF(I60&lt;&gt;"",$N$74,"")</f>
        <v/>
      </c>
      <c r="I60" s="1"/>
      <c r="J60" s="1">
        <f>IF(K60&lt;&gt;"",$N$75,"")</f>
        <v>416</v>
      </c>
      <c r="K60" s="1" t="s">
        <v>62</v>
      </c>
    </row>
    <row r="61" spans="1:11" ht="16.5" x14ac:dyDescent="0.3">
      <c r="A61" s="1">
        <v>0.03</v>
      </c>
      <c r="B61" s="1">
        <f>IF(C61&lt;&gt;"",$N$71,"")</f>
        <v>32</v>
      </c>
      <c r="C61" s="1" t="s">
        <v>62</v>
      </c>
      <c r="D61" s="1" t="str">
        <f>IF(E61&lt;&gt;"",$N$72,"")</f>
        <v/>
      </c>
      <c r="E61" s="1"/>
      <c r="F61" s="1">
        <f>IF(G61&lt;&gt;"",$N$73,"")</f>
        <v>224</v>
      </c>
      <c r="G61" s="1" t="s">
        <v>62</v>
      </c>
      <c r="H61" s="1" t="str">
        <f>IF(I61&lt;&gt;"",$N$74,"")</f>
        <v/>
      </c>
      <c r="I61" s="1"/>
      <c r="J61" s="1">
        <f>IF(K61&lt;&gt;"",$N$75,"")</f>
        <v>416</v>
      </c>
      <c r="K61" s="1" t="s">
        <v>62</v>
      </c>
    </row>
    <row r="62" spans="1:11" ht="16.5" x14ac:dyDescent="0.3">
      <c r="A62" s="1">
        <v>0.03</v>
      </c>
      <c r="B62" s="1">
        <f>IF(C62&lt;&gt;"",$N$71,"")</f>
        <v>32</v>
      </c>
      <c r="C62" s="1" t="s">
        <v>62</v>
      </c>
      <c r="D62" s="1" t="str">
        <f>IF(E62&lt;&gt;"",$N$72,"")</f>
        <v/>
      </c>
      <c r="E62" s="1"/>
      <c r="F62" s="1">
        <f>IF(G62&lt;&gt;"",$N$73,"")</f>
        <v>224</v>
      </c>
      <c r="G62" s="1" t="s">
        <v>62</v>
      </c>
      <c r="H62" s="1" t="str">
        <f>IF(I62&lt;&gt;"",$N$74,"")</f>
        <v/>
      </c>
      <c r="I62" s="1"/>
      <c r="J62" s="1">
        <f>IF(K62&lt;&gt;"",$N$75,"")</f>
        <v>416</v>
      </c>
      <c r="K62" s="1" t="s">
        <v>62</v>
      </c>
    </row>
    <row r="63" spans="1:11" ht="16.5" x14ac:dyDescent="0.3">
      <c r="A63" s="1">
        <v>0.03</v>
      </c>
      <c r="B63" s="1">
        <f>IF(C63&lt;&gt;"",$N$71,"")</f>
        <v>32</v>
      </c>
      <c r="C63" s="1" t="s">
        <v>62</v>
      </c>
      <c r="D63" s="1" t="str">
        <f>IF(E63&lt;&gt;"",$N$72,"")</f>
        <v/>
      </c>
      <c r="E63" s="1"/>
      <c r="F63" s="1">
        <f>IF(G63&lt;&gt;"",$N$73,"")</f>
        <v>224</v>
      </c>
      <c r="G63" s="1" t="s">
        <v>62</v>
      </c>
      <c r="H63" s="1" t="str">
        <f>IF(I63&lt;&gt;"",$N$74,"")</f>
        <v/>
      </c>
      <c r="I63" s="1"/>
      <c r="J63" s="1">
        <f>IF(K63&lt;&gt;"",$N$75,"")</f>
        <v>416</v>
      </c>
      <c r="K63" s="1" t="s">
        <v>62</v>
      </c>
    </row>
    <row r="64" spans="1:11" ht="16.5" x14ac:dyDescent="0.3">
      <c r="A64" s="1">
        <v>0.03</v>
      </c>
      <c r="B64" s="1">
        <f>IF(C64&lt;&gt;"",$N$71,"")</f>
        <v>32</v>
      </c>
      <c r="C64" s="1" t="s">
        <v>62</v>
      </c>
      <c r="D64" s="1" t="str">
        <f>IF(E64&lt;&gt;"",$N$72,"")</f>
        <v/>
      </c>
      <c r="E64" s="1"/>
      <c r="F64" s="1">
        <f>IF(G64&lt;&gt;"",$N$73,"")</f>
        <v>224</v>
      </c>
      <c r="G64" s="1" t="s">
        <v>62</v>
      </c>
      <c r="H64" s="1" t="str">
        <f>IF(I64&lt;&gt;"",$N$74,"")</f>
        <v/>
      </c>
      <c r="I64" s="1"/>
      <c r="J64" s="1">
        <f>IF(K64&lt;&gt;"",$N$75,"")</f>
        <v>416</v>
      </c>
      <c r="K64" s="1" t="s">
        <v>62</v>
      </c>
    </row>
    <row r="65" spans="1:15" ht="16.5" x14ac:dyDescent="0.3">
      <c r="A65" s="1">
        <v>6</v>
      </c>
      <c r="B65" s="1" t="s">
        <v>59</v>
      </c>
      <c r="C65" s="1"/>
      <c r="D65" s="1" t="str">
        <f>IF(E65&lt;&gt;"",$N$72,"")</f>
        <v/>
      </c>
      <c r="E65" s="1"/>
      <c r="F65" s="1"/>
      <c r="G65" s="1"/>
      <c r="H65" s="1"/>
      <c r="I65" s="1"/>
      <c r="J65" s="1" t="str">
        <f>IF(K65&lt;&gt;"",$N$75,"")</f>
        <v/>
      </c>
      <c r="K65" s="1"/>
    </row>
    <row r="66" spans="1:15" ht="16.5" x14ac:dyDescent="0.3">
      <c r="A66" s="1">
        <v>0</v>
      </c>
      <c r="B66" s="1" t="s">
        <v>57</v>
      </c>
      <c r="C66" s="1"/>
      <c r="D66" s="1"/>
      <c r="E66" s="1"/>
      <c r="F66" s="1"/>
      <c r="G66" s="1"/>
      <c r="H66" s="1"/>
      <c r="I66" s="1"/>
      <c r="J66" s="1"/>
      <c r="K66" s="1"/>
    </row>
    <row r="67" spans="1:15" ht="16.5" x14ac:dyDescent="0.3">
      <c r="A67" s="1">
        <v>0</v>
      </c>
      <c r="B67" s="1" t="s">
        <v>58</v>
      </c>
      <c r="C67" s="1"/>
      <c r="D67" s="1" t="str">
        <f>IF(E67&lt;&gt;"",$N$72,"")</f>
        <v/>
      </c>
      <c r="E67" s="1"/>
      <c r="F67" s="1" t="str">
        <f>IF(G67&lt;&gt;"",$N$73,"")</f>
        <v/>
      </c>
      <c r="G67" s="1"/>
      <c r="H67" s="1" t="str">
        <f>IF(I67&lt;&gt;"",$N$74,"")</f>
        <v/>
      </c>
      <c r="I67" s="1"/>
      <c r="J67" s="1" t="str">
        <f>IF(K67&lt;&gt;"",$N$75,"")</f>
        <v/>
      </c>
      <c r="K67" s="1"/>
    </row>
    <row r="68" spans="1:15" ht="16.5" x14ac:dyDescent="0.3">
      <c r="A68" s="1">
        <v>5</v>
      </c>
      <c r="B68" s="1" t="s">
        <v>56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ht="16.5" x14ac:dyDescent="0.3">
      <c r="A69" s="1">
        <v>0.5</v>
      </c>
      <c r="B69" s="1" t="str">
        <f t="shared" ref="B69:B94" si="0">IF(C69&lt;&gt;"",$N$71,"")</f>
        <v/>
      </c>
      <c r="C69" s="1"/>
      <c r="D69" s="1" t="str">
        <f t="shared" ref="D69:D96" si="1">IF(E69&lt;&gt;"",$N$72,"")</f>
        <v/>
      </c>
      <c r="E69" s="1"/>
      <c r="F69" s="1" t="str">
        <f t="shared" ref="F69:F95" si="2">IF(G69&lt;&gt;"",$N$73,"")</f>
        <v/>
      </c>
      <c r="G69" s="1"/>
      <c r="H69" s="1">
        <f t="shared" ref="H69:H95" si="3">IF(I69&lt;&gt;"",$N$74,"")</f>
        <v>320</v>
      </c>
      <c r="I69" s="1" t="s">
        <v>63</v>
      </c>
      <c r="J69" s="1">
        <f t="shared" ref="J69:J96" si="4">IF(K69&lt;&gt;"",$N$75,"")</f>
        <v>416</v>
      </c>
      <c r="K69" s="1" t="s">
        <v>63</v>
      </c>
    </row>
    <row r="70" spans="1:15" ht="16.5" x14ac:dyDescent="0.3">
      <c r="A70" s="1">
        <v>0.5</v>
      </c>
      <c r="B70" s="1">
        <f t="shared" si="0"/>
        <v>32</v>
      </c>
      <c r="C70" s="1" t="s">
        <v>63</v>
      </c>
      <c r="D70" s="1">
        <f t="shared" si="1"/>
        <v>128</v>
      </c>
      <c r="E70" s="1" t="s">
        <v>63</v>
      </c>
      <c r="F70" s="1" t="str">
        <f t="shared" si="2"/>
        <v/>
      </c>
      <c r="G70" s="1"/>
      <c r="H70" s="1" t="str">
        <f t="shared" si="3"/>
        <v/>
      </c>
      <c r="I70" s="1"/>
      <c r="J70" s="1" t="str">
        <f t="shared" si="4"/>
        <v/>
      </c>
      <c r="K70" s="1"/>
    </row>
    <row r="71" spans="1:15" ht="16.5" x14ac:dyDescent="0.3">
      <c r="A71" s="1">
        <v>0.5</v>
      </c>
      <c r="B71" s="1">
        <f t="shared" si="0"/>
        <v>32</v>
      </c>
      <c r="C71" s="1" t="s">
        <v>64</v>
      </c>
      <c r="D71" s="1" t="str">
        <f t="shared" si="1"/>
        <v/>
      </c>
      <c r="E71" s="1"/>
      <c r="F71" s="1">
        <f t="shared" si="2"/>
        <v>224</v>
      </c>
      <c r="G71" s="1" t="s">
        <v>64</v>
      </c>
      <c r="H71" s="1" t="str">
        <f t="shared" si="3"/>
        <v/>
      </c>
      <c r="I71" s="1"/>
      <c r="J71" s="1">
        <f t="shared" si="4"/>
        <v>416</v>
      </c>
      <c r="K71" s="1" t="s">
        <v>64</v>
      </c>
      <c r="M71" s="1" t="s">
        <v>17</v>
      </c>
      <c r="N71" s="1">
        <v>32</v>
      </c>
    </row>
    <row r="72" spans="1:15" ht="16.5" x14ac:dyDescent="0.3">
      <c r="A72" s="1">
        <v>0.5</v>
      </c>
      <c r="B72" s="1" t="str">
        <f t="shared" si="0"/>
        <v/>
      </c>
      <c r="C72" s="1"/>
      <c r="D72" s="1" t="str">
        <f t="shared" si="1"/>
        <v/>
      </c>
      <c r="E72" s="1"/>
      <c r="F72" s="1">
        <f t="shared" si="2"/>
        <v>224</v>
      </c>
      <c r="G72" s="1" t="s">
        <v>65</v>
      </c>
      <c r="H72" s="1">
        <f t="shared" si="3"/>
        <v>320</v>
      </c>
      <c r="I72" s="1" t="s">
        <v>63</v>
      </c>
      <c r="J72" s="1">
        <f t="shared" si="4"/>
        <v>416</v>
      </c>
      <c r="K72" s="1" t="s">
        <v>65</v>
      </c>
      <c r="M72" s="1" t="s">
        <v>18</v>
      </c>
      <c r="N72" s="1">
        <f>N71+96</f>
        <v>128</v>
      </c>
    </row>
    <row r="73" spans="1:15" ht="16.5" x14ac:dyDescent="0.3">
      <c r="A73" s="1">
        <v>0.5</v>
      </c>
      <c r="B73" s="1">
        <f t="shared" si="0"/>
        <v>32</v>
      </c>
      <c r="C73" s="1" t="s">
        <v>65</v>
      </c>
      <c r="D73" s="1">
        <f t="shared" si="1"/>
        <v>128</v>
      </c>
      <c r="E73" s="1" t="s">
        <v>63</v>
      </c>
      <c r="F73" s="1">
        <f t="shared" si="2"/>
        <v>224</v>
      </c>
      <c r="G73" s="1" t="s">
        <v>65</v>
      </c>
      <c r="H73" s="1" t="str">
        <f t="shared" si="3"/>
        <v/>
      </c>
      <c r="I73" s="1"/>
      <c r="J73" s="1" t="str">
        <f t="shared" si="4"/>
        <v/>
      </c>
      <c r="K73" s="1"/>
      <c r="M73" s="1" t="s">
        <v>19</v>
      </c>
      <c r="N73" s="1">
        <f t="shared" ref="N73:N75" si="5">N72+96</f>
        <v>224</v>
      </c>
    </row>
    <row r="74" spans="1:15" ht="16.5" x14ac:dyDescent="0.3">
      <c r="A74" s="1">
        <v>0.5</v>
      </c>
      <c r="B74" s="1" t="str">
        <f t="shared" si="0"/>
        <v/>
      </c>
      <c r="C74" s="1"/>
      <c r="D74" s="1">
        <f t="shared" si="1"/>
        <v>128</v>
      </c>
      <c r="E74" s="1" t="s">
        <v>65</v>
      </c>
      <c r="F74" s="1">
        <f t="shared" si="2"/>
        <v>224</v>
      </c>
      <c r="G74" s="1" t="s">
        <v>63</v>
      </c>
      <c r="H74" s="1">
        <f t="shared" si="3"/>
        <v>320</v>
      </c>
      <c r="I74" s="1" t="s">
        <v>65</v>
      </c>
      <c r="J74" s="1" t="str">
        <f t="shared" si="4"/>
        <v/>
      </c>
      <c r="K74" s="1"/>
      <c r="M74" s="1" t="s">
        <v>20</v>
      </c>
      <c r="N74" s="1">
        <f t="shared" si="5"/>
        <v>320</v>
      </c>
    </row>
    <row r="75" spans="1:15" ht="16.5" x14ac:dyDescent="0.3">
      <c r="A75" s="1">
        <v>0.5</v>
      </c>
      <c r="B75" s="1" t="str">
        <f t="shared" si="0"/>
        <v/>
      </c>
      <c r="C75" s="1"/>
      <c r="D75" s="1">
        <f t="shared" si="1"/>
        <v>128</v>
      </c>
      <c r="E75" s="1" t="s">
        <v>63</v>
      </c>
      <c r="F75" s="1">
        <f t="shared" si="2"/>
        <v>224</v>
      </c>
      <c r="G75" s="1" t="s">
        <v>66</v>
      </c>
      <c r="H75" s="1">
        <f t="shared" si="3"/>
        <v>320</v>
      </c>
      <c r="I75" s="1" t="s">
        <v>63</v>
      </c>
      <c r="J75" s="1" t="str">
        <f t="shared" si="4"/>
        <v/>
      </c>
      <c r="K75" s="1"/>
      <c r="M75" s="1" t="s">
        <v>21</v>
      </c>
      <c r="N75" s="1">
        <f t="shared" si="5"/>
        <v>416</v>
      </c>
    </row>
    <row r="76" spans="1:15" ht="16.5" x14ac:dyDescent="0.3">
      <c r="A76" s="1">
        <v>0.5</v>
      </c>
      <c r="B76" s="1" t="str">
        <f t="shared" si="0"/>
        <v/>
      </c>
      <c r="C76" s="1"/>
      <c r="D76" s="1" t="str">
        <f t="shared" si="1"/>
        <v/>
      </c>
      <c r="E76" s="1"/>
      <c r="F76" s="1" t="str">
        <f t="shared" si="2"/>
        <v/>
      </c>
      <c r="G76" s="1"/>
      <c r="H76" s="1">
        <f t="shared" si="3"/>
        <v>320</v>
      </c>
      <c r="I76" s="1" t="s">
        <v>62</v>
      </c>
      <c r="J76" s="1">
        <f t="shared" si="4"/>
        <v>416</v>
      </c>
      <c r="K76" s="1" t="s">
        <v>65</v>
      </c>
    </row>
    <row r="77" spans="1:15" ht="16.5" x14ac:dyDescent="0.3">
      <c r="A77" s="1">
        <v>0.5</v>
      </c>
      <c r="B77" s="1">
        <f t="shared" si="0"/>
        <v>32</v>
      </c>
      <c r="C77" s="1" t="s">
        <v>65</v>
      </c>
      <c r="D77" s="1">
        <f t="shared" si="1"/>
        <v>128</v>
      </c>
      <c r="E77" s="1" t="s">
        <v>62</v>
      </c>
      <c r="F77" s="1" t="str">
        <f t="shared" si="2"/>
        <v/>
      </c>
      <c r="G77" s="1"/>
      <c r="H77" s="1" t="str">
        <f t="shared" si="3"/>
        <v/>
      </c>
      <c r="I77" s="1"/>
      <c r="J77" s="1" t="str">
        <f t="shared" si="4"/>
        <v/>
      </c>
      <c r="K77" s="1"/>
    </row>
    <row r="78" spans="1:15" x14ac:dyDescent="0.4">
      <c r="A78" s="1">
        <v>0.5</v>
      </c>
      <c r="B78" s="1">
        <f t="shared" si="0"/>
        <v>32</v>
      </c>
      <c r="C78" s="1" t="s">
        <v>62</v>
      </c>
      <c r="D78" s="1" t="str">
        <f t="shared" si="1"/>
        <v/>
      </c>
      <c r="E78" s="1"/>
      <c r="F78" s="1">
        <f t="shared" si="2"/>
        <v>224</v>
      </c>
      <c r="G78" s="1" t="s">
        <v>62</v>
      </c>
      <c r="H78" s="1" t="str">
        <f t="shared" si="3"/>
        <v/>
      </c>
      <c r="I78" s="1"/>
      <c r="J78" s="1">
        <f t="shared" si="4"/>
        <v>416</v>
      </c>
      <c r="K78" s="1" t="s">
        <v>62</v>
      </c>
      <c r="M78" t="s">
        <v>63</v>
      </c>
      <c r="N78" t="s">
        <v>26</v>
      </c>
      <c r="O78" t="s">
        <v>22</v>
      </c>
    </row>
    <row r="79" spans="1:15" x14ac:dyDescent="0.4">
      <c r="A79" s="1">
        <v>0.5</v>
      </c>
      <c r="B79" s="1" t="str">
        <f t="shared" si="0"/>
        <v/>
      </c>
      <c r="C79" s="1"/>
      <c r="D79" s="1">
        <f t="shared" si="1"/>
        <v>128</v>
      </c>
      <c r="E79" s="1" t="s">
        <v>62</v>
      </c>
      <c r="F79" s="1" t="str">
        <f t="shared" si="2"/>
        <v/>
      </c>
      <c r="G79" s="1"/>
      <c r="H79" s="1">
        <f t="shared" si="3"/>
        <v>320</v>
      </c>
      <c r="I79" s="1" t="s">
        <v>62</v>
      </c>
      <c r="J79" s="1" t="str">
        <f t="shared" si="4"/>
        <v/>
      </c>
      <c r="K79" s="1"/>
      <c r="N79" t="s">
        <v>27</v>
      </c>
      <c r="O79" t="s">
        <v>23</v>
      </c>
    </row>
    <row r="80" spans="1:15" ht="16.5" x14ac:dyDescent="0.3">
      <c r="A80" s="1">
        <v>0.5</v>
      </c>
      <c r="B80" s="1" t="str">
        <f t="shared" si="0"/>
        <v/>
      </c>
      <c r="C80" s="1"/>
      <c r="D80" s="1">
        <f t="shared" si="1"/>
        <v>128</v>
      </c>
      <c r="E80" s="1" t="s">
        <v>63</v>
      </c>
      <c r="F80" s="1">
        <f t="shared" si="2"/>
        <v>224</v>
      </c>
      <c r="G80" s="1" t="s">
        <v>66</v>
      </c>
      <c r="H80" s="1">
        <f t="shared" si="3"/>
        <v>320</v>
      </c>
      <c r="I80" s="1" t="s">
        <v>63</v>
      </c>
      <c r="J80" s="1" t="str">
        <f t="shared" si="4"/>
        <v/>
      </c>
      <c r="K80" s="1"/>
    </row>
    <row r="81" spans="1:15" x14ac:dyDescent="0.4">
      <c r="A81" s="1">
        <v>0.5</v>
      </c>
      <c r="B81" s="1">
        <f t="shared" si="0"/>
        <v>32</v>
      </c>
      <c r="C81" s="1" t="s">
        <v>63</v>
      </c>
      <c r="D81" s="1" t="str">
        <f t="shared" si="1"/>
        <v/>
      </c>
      <c r="E81" s="1"/>
      <c r="F81" s="1" t="str">
        <f t="shared" si="2"/>
        <v/>
      </c>
      <c r="G81" s="1"/>
      <c r="H81" s="1" t="str">
        <f t="shared" si="3"/>
        <v/>
      </c>
      <c r="I81" s="1"/>
      <c r="J81" s="1">
        <f t="shared" si="4"/>
        <v>416</v>
      </c>
      <c r="K81" s="1" t="s">
        <v>63</v>
      </c>
      <c r="N81" t="s">
        <v>28</v>
      </c>
      <c r="O81" t="s">
        <v>24</v>
      </c>
    </row>
    <row r="82" spans="1:15" x14ac:dyDescent="0.4">
      <c r="A82" s="1">
        <v>0.5</v>
      </c>
      <c r="B82" s="1" t="str">
        <f t="shared" si="0"/>
        <v/>
      </c>
      <c r="C82" s="1"/>
      <c r="D82" s="1" t="str">
        <f t="shared" si="1"/>
        <v/>
      </c>
      <c r="E82" s="1"/>
      <c r="F82" s="1">
        <f t="shared" si="2"/>
        <v>224</v>
      </c>
      <c r="G82" s="1" t="s">
        <v>66</v>
      </c>
      <c r="H82" s="1" t="str">
        <f t="shared" si="3"/>
        <v/>
      </c>
      <c r="I82" s="1"/>
      <c r="J82" s="1" t="str">
        <f t="shared" si="4"/>
        <v/>
      </c>
      <c r="K82" s="1"/>
      <c r="N82" t="s">
        <v>29</v>
      </c>
      <c r="O82" t="s">
        <v>25</v>
      </c>
    </row>
    <row r="83" spans="1:15" x14ac:dyDescent="0.4">
      <c r="A83" s="1">
        <v>0.5</v>
      </c>
      <c r="B83" s="1">
        <f t="shared" si="0"/>
        <v>32</v>
      </c>
      <c r="C83" s="1" t="s">
        <v>70</v>
      </c>
      <c r="D83" s="1" t="str">
        <f t="shared" si="1"/>
        <v/>
      </c>
      <c r="E83" s="1"/>
      <c r="F83" s="1" t="str">
        <f t="shared" si="2"/>
        <v/>
      </c>
      <c r="G83" s="1"/>
      <c r="H83" s="1" t="str">
        <f t="shared" si="3"/>
        <v/>
      </c>
      <c r="I83" s="1"/>
      <c r="J83" s="1" t="str">
        <f t="shared" si="4"/>
        <v/>
      </c>
      <c r="K83" s="1"/>
      <c r="N83" t="s">
        <v>30</v>
      </c>
      <c r="O83" t="s">
        <v>68</v>
      </c>
    </row>
    <row r="84" spans="1:15" ht="16.5" x14ac:dyDescent="0.3">
      <c r="A84" s="1">
        <v>0.5</v>
      </c>
      <c r="B84" s="1" t="str">
        <f t="shared" si="0"/>
        <v/>
      </c>
      <c r="C84" s="1"/>
      <c r="D84" s="1" t="str">
        <f t="shared" si="1"/>
        <v/>
      </c>
      <c r="E84" s="1"/>
      <c r="F84" s="1" t="str">
        <f t="shared" si="2"/>
        <v/>
      </c>
      <c r="G84" s="1"/>
      <c r="H84" s="1" t="str">
        <f t="shared" si="3"/>
        <v/>
      </c>
      <c r="I84" s="1"/>
      <c r="J84" s="1">
        <f t="shared" si="4"/>
        <v>416</v>
      </c>
      <c r="K84" s="1" t="s">
        <v>70</v>
      </c>
    </row>
    <row r="85" spans="1:15" ht="16.5" x14ac:dyDescent="0.3">
      <c r="A85" s="1">
        <v>0.5</v>
      </c>
      <c r="B85" s="1" t="str">
        <f t="shared" si="0"/>
        <v/>
      </c>
      <c r="C85" s="1"/>
      <c r="D85" s="1" t="str">
        <f t="shared" si="1"/>
        <v/>
      </c>
      <c r="E85" s="1"/>
      <c r="F85" s="1">
        <f t="shared" si="2"/>
        <v>224</v>
      </c>
      <c r="G85" s="1" t="s">
        <v>70</v>
      </c>
      <c r="H85" s="1" t="str">
        <f t="shared" si="3"/>
        <v/>
      </c>
      <c r="I85" s="1"/>
      <c r="J85" s="1" t="str">
        <f t="shared" si="4"/>
        <v/>
      </c>
      <c r="K85" s="1"/>
    </row>
    <row r="86" spans="1:15" ht="16.5" x14ac:dyDescent="0.3">
      <c r="A86" s="1">
        <v>5</v>
      </c>
      <c r="B86" s="1" t="s">
        <v>60</v>
      </c>
      <c r="C86" s="1"/>
      <c r="D86" s="1"/>
      <c r="E86" s="1"/>
      <c r="F86" s="1"/>
      <c r="G86" s="1"/>
      <c r="H86" s="1"/>
      <c r="I86" s="1"/>
      <c r="J86" s="1" t="str">
        <f>IF(K86&lt;&gt;"",$N$75,"")</f>
        <v/>
      </c>
      <c r="K86" s="1"/>
    </row>
    <row r="87" spans="1:15" x14ac:dyDescent="0.4">
      <c r="A87" s="1">
        <v>0.5</v>
      </c>
      <c r="B87" s="1">
        <f t="shared" si="0"/>
        <v>32</v>
      </c>
      <c r="C87" s="1" t="s">
        <v>62</v>
      </c>
      <c r="D87" s="1" t="str">
        <f t="shared" si="1"/>
        <v/>
      </c>
      <c r="E87" s="1"/>
      <c r="F87" s="1">
        <f t="shared" si="2"/>
        <v>224</v>
      </c>
      <c r="G87" s="1" t="s">
        <v>62</v>
      </c>
      <c r="H87" s="1" t="str">
        <f t="shared" si="3"/>
        <v/>
      </c>
      <c r="I87" s="1"/>
      <c r="J87" s="1">
        <f t="shared" si="4"/>
        <v>416</v>
      </c>
      <c r="K87" s="1" t="s">
        <v>62</v>
      </c>
      <c r="M87" t="s">
        <v>32</v>
      </c>
    </row>
    <row r="88" spans="1:15" ht="16.5" x14ac:dyDescent="0.3">
      <c r="A88" s="3">
        <v>0.5</v>
      </c>
      <c r="B88" s="1" t="str">
        <f t="shared" si="0"/>
        <v/>
      </c>
      <c r="C88" s="1"/>
      <c r="D88" s="1">
        <f t="shared" si="1"/>
        <v>128</v>
      </c>
      <c r="E88" s="1" t="s">
        <v>62</v>
      </c>
      <c r="F88" s="1">
        <f t="shared" si="2"/>
        <v>224</v>
      </c>
      <c r="G88" s="1" t="s">
        <v>62</v>
      </c>
      <c r="H88" s="1">
        <f t="shared" si="3"/>
        <v>320</v>
      </c>
      <c r="I88" s="1" t="s">
        <v>62</v>
      </c>
      <c r="J88" s="1" t="str">
        <f t="shared" si="4"/>
        <v/>
      </c>
      <c r="K88" s="1"/>
    </row>
    <row r="89" spans="1:15" ht="16.5" x14ac:dyDescent="0.3">
      <c r="A89" s="1">
        <v>0.5</v>
      </c>
      <c r="B89" s="1" t="str">
        <f t="shared" si="0"/>
        <v/>
      </c>
      <c r="C89" s="1"/>
      <c r="D89" s="1" t="str">
        <f t="shared" si="1"/>
        <v/>
      </c>
      <c r="E89" s="1"/>
      <c r="F89" s="1">
        <f t="shared" si="2"/>
        <v>224</v>
      </c>
      <c r="G89" s="1" t="s">
        <v>62</v>
      </c>
      <c r="H89" s="1" t="str">
        <f t="shared" si="3"/>
        <v/>
      </c>
      <c r="I89" s="1"/>
      <c r="J89" s="1" t="str">
        <f t="shared" si="4"/>
        <v/>
      </c>
      <c r="K89" s="1"/>
    </row>
    <row r="90" spans="1:15" ht="16.5" x14ac:dyDescent="0.3">
      <c r="A90" s="1">
        <v>0.5</v>
      </c>
      <c r="B90" s="1" t="str">
        <f t="shared" si="0"/>
        <v/>
      </c>
      <c r="C90" s="1"/>
      <c r="D90" s="1" t="str">
        <f t="shared" si="1"/>
        <v/>
      </c>
      <c r="E90" s="1"/>
      <c r="F90" s="1" t="str">
        <f t="shared" si="2"/>
        <v/>
      </c>
      <c r="G90" s="1"/>
      <c r="H90" s="1">
        <f t="shared" si="3"/>
        <v>320</v>
      </c>
      <c r="I90" s="1" t="s">
        <v>65</v>
      </c>
      <c r="J90" s="1">
        <f t="shared" si="4"/>
        <v>416</v>
      </c>
      <c r="K90" s="1" t="s">
        <v>62</v>
      </c>
      <c r="M90">
        <f>SUM(A:A)</f>
        <v>32.950000000000003</v>
      </c>
    </row>
    <row r="91" spans="1:15" ht="16.5" x14ac:dyDescent="0.3">
      <c r="A91" s="1">
        <v>0.5</v>
      </c>
      <c r="B91" s="1">
        <f t="shared" si="0"/>
        <v>32</v>
      </c>
      <c r="C91" s="1" t="s">
        <v>62</v>
      </c>
      <c r="D91" s="1">
        <f t="shared" si="1"/>
        <v>128</v>
      </c>
      <c r="E91" s="1" t="s">
        <v>65</v>
      </c>
      <c r="F91" s="1" t="str">
        <f t="shared" si="2"/>
        <v/>
      </c>
      <c r="G91" s="1"/>
      <c r="H91" s="1" t="str">
        <f t="shared" si="3"/>
        <v/>
      </c>
      <c r="I91" s="1"/>
      <c r="J91" s="1" t="str">
        <f t="shared" si="4"/>
        <v/>
      </c>
      <c r="K91" s="1"/>
    </row>
    <row r="92" spans="1:15" ht="16.5" x14ac:dyDescent="0.3">
      <c r="A92" s="1">
        <v>0.5</v>
      </c>
      <c r="B92" s="1" t="str">
        <f t="shared" si="0"/>
        <v/>
      </c>
      <c r="C92" s="1"/>
      <c r="D92" s="1">
        <f t="shared" si="1"/>
        <v>128</v>
      </c>
      <c r="E92" s="1" t="s">
        <v>65</v>
      </c>
      <c r="F92" s="1" t="str">
        <f t="shared" si="2"/>
        <v/>
      </c>
      <c r="G92" s="1"/>
      <c r="H92" s="1">
        <f t="shared" si="3"/>
        <v>320</v>
      </c>
      <c r="I92" s="1" t="s">
        <v>65</v>
      </c>
      <c r="J92" s="1" t="str">
        <f t="shared" si="4"/>
        <v/>
      </c>
      <c r="K92" s="1"/>
    </row>
    <row r="93" spans="1:15" ht="16.5" x14ac:dyDescent="0.3">
      <c r="A93" s="1">
        <v>0.5</v>
      </c>
      <c r="B93" s="1">
        <f t="shared" si="0"/>
        <v>32</v>
      </c>
      <c r="C93" s="1" t="s">
        <v>65</v>
      </c>
      <c r="D93" s="1" t="str">
        <f t="shared" si="1"/>
        <v/>
      </c>
      <c r="E93" s="1"/>
      <c r="F93" s="1">
        <f t="shared" si="2"/>
        <v>224</v>
      </c>
      <c r="G93" s="1" t="s">
        <v>69</v>
      </c>
      <c r="H93" s="1" t="str">
        <f t="shared" si="3"/>
        <v/>
      </c>
      <c r="I93" s="1"/>
      <c r="J93" s="1">
        <f t="shared" si="4"/>
        <v>416</v>
      </c>
      <c r="K93" s="1" t="s">
        <v>65</v>
      </c>
    </row>
    <row r="94" spans="1:15" ht="16.5" x14ac:dyDescent="0.3">
      <c r="A94" s="1">
        <v>0.5</v>
      </c>
      <c r="B94" s="1" t="str">
        <f t="shared" si="0"/>
        <v/>
      </c>
      <c r="C94" s="1"/>
      <c r="D94" s="1">
        <f t="shared" si="1"/>
        <v>128</v>
      </c>
      <c r="E94" s="1" t="s">
        <v>65</v>
      </c>
      <c r="F94" s="1" t="str">
        <f t="shared" si="2"/>
        <v/>
      </c>
      <c r="G94" s="1"/>
      <c r="H94" s="1">
        <f t="shared" si="3"/>
        <v>320</v>
      </c>
      <c r="I94" s="1" t="s">
        <v>65</v>
      </c>
      <c r="J94" s="1" t="str">
        <f t="shared" si="4"/>
        <v/>
      </c>
      <c r="K94" s="1"/>
    </row>
    <row r="95" spans="1:15" ht="16.5" x14ac:dyDescent="0.3">
      <c r="A95" s="1">
        <v>0.5</v>
      </c>
      <c r="B95" s="1"/>
      <c r="C95" s="1"/>
      <c r="D95" s="1"/>
      <c r="E95" s="1"/>
      <c r="F95" s="1">
        <f t="shared" si="2"/>
        <v>224</v>
      </c>
      <c r="G95" s="1" t="s">
        <v>65</v>
      </c>
      <c r="H95" s="1" t="str">
        <f t="shared" si="3"/>
        <v/>
      </c>
      <c r="I95" s="1"/>
      <c r="J95" s="1" t="str">
        <f t="shared" si="4"/>
        <v/>
      </c>
      <c r="K95" s="1"/>
    </row>
    <row r="96" spans="1:15" ht="16.5" x14ac:dyDescent="0.3">
      <c r="A96" s="1">
        <v>0</v>
      </c>
      <c r="B96" s="1" t="s">
        <v>61</v>
      </c>
      <c r="C96" s="1"/>
      <c r="D96" s="1"/>
      <c r="E96" s="1"/>
      <c r="F96" s="1"/>
      <c r="G96" s="1"/>
      <c r="H96" s="1"/>
      <c r="I96" s="1"/>
      <c r="J96" s="1" t="str">
        <f t="shared" si="4"/>
        <v/>
      </c>
      <c r="K96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C13" sqref="C13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ht="16.5" x14ac:dyDescent="0.3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5" x14ac:dyDescent="0.3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ht="16.5" x14ac:dyDescent="0.3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ht="16.5" x14ac:dyDescent="0.3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5" x14ac:dyDescent="0.3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ht="16.5" x14ac:dyDescent="0.3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ht="16.5" x14ac:dyDescent="0.3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4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4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4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ht="16.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ht="16.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ht="16.5" x14ac:dyDescent="0.3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ht="16.5" x14ac:dyDescent="0.3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ht="16.5" x14ac:dyDescent="0.3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ht="16.5" x14ac:dyDescent="0.3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ht="16.5" x14ac:dyDescent="0.3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ht="16.5" x14ac:dyDescent="0.3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ht="16.5" x14ac:dyDescent="0.3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3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3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33"/>
  <sheetViews>
    <sheetView workbookViewId="0">
      <selection activeCell="F19" sqref="F19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0</v>
      </c>
      <c r="B2" s="1" t="s">
        <v>42</v>
      </c>
      <c r="C2" s="1"/>
      <c r="D2" s="1" t="str">
        <f>IF(E2&lt;&gt;"",$N$71,"")</f>
        <v/>
      </c>
      <c r="E2" s="1"/>
      <c r="F2" s="1" t="str">
        <f>IF(G2&lt;&gt;"",$N$72,"")</f>
        <v/>
      </c>
      <c r="G2" s="1"/>
      <c r="H2" s="1" t="str">
        <f>IF(I2&lt;&gt;"",$N$73,"")</f>
        <v/>
      </c>
      <c r="I2" s="1"/>
      <c r="J2" s="1" t="str">
        <f>IF(K2&lt;&gt;"",$N$74,"")</f>
        <v/>
      </c>
      <c r="K2" s="1"/>
    </row>
    <row r="3" spans="1:15" ht="16.5" x14ac:dyDescent="0.3">
      <c r="A3" s="1">
        <v>0</v>
      </c>
      <c r="B3" s="1" t="s">
        <v>43</v>
      </c>
      <c r="C3" s="1"/>
      <c r="D3" s="1"/>
      <c r="E3" s="1"/>
      <c r="F3" s="1"/>
      <c r="G3" s="1"/>
      <c r="H3" s="1"/>
      <c r="I3" s="1"/>
      <c r="J3" s="1"/>
      <c r="K3" s="1"/>
      <c r="M3" s="1" t="s">
        <v>17</v>
      </c>
      <c r="N3" s="1">
        <v>32</v>
      </c>
    </row>
    <row r="4" spans="1:15" ht="16.5" x14ac:dyDescent="0.3">
      <c r="A4" s="1">
        <v>5</v>
      </c>
      <c r="B4" s="1" t="s">
        <v>55</v>
      </c>
      <c r="C4" s="1"/>
      <c r="D4" s="1"/>
      <c r="E4" s="1"/>
      <c r="F4" s="1"/>
      <c r="G4" s="1"/>
      <c r="H4" s="1"/>
      <c r="I4" s="1"/>
      <c r="J4" s="1"/>
      <c r="K4" s="1"/>
      <c r="M4" s="1" t="s">
        <v>18</v>
      </c>
      <c r="N4" s="1">
        <f>N3+96</f>
        <v>128</v>
      </c>
    </row>
    <row r="5" spans="1:15" ht="16.5" x14ac:dyDescent="0.3">
      <c r="A5" s="1">
        <v>0.03</v>
      </c>
      <c r="B5" s="1" t="str">
        <f t="shared" ref="B5:B6" si="0">IF(C5&lt;&gt;"",$N$70,"")</f>
        <v/>
      </c>
      <c r="C5" s="1"/>
      <c r="D5" s="1" t="str">
        <f t="shared" ref="D5:D6" si="1">IF(E5&lt;&gt;"",$N$71,"")</f>
        <v/>
      </c>
      <c r="E5" s="1"/>
      <c r="F5" s="1" t="str">
        <f t="shared" ref="F5:F31" si="2">IF(G5&lt;&gt;"",$N$72,"")</f>
        <v/>
      </c>
      <c r="G5" s="1"/>
      <c r="H5" s="1">
        <f t="shared" ref="H5:H6" si="3">IF(I5&lt;&gt;"",$N$73,"")</f>
        <v>0</v>
      </c>
      <c r="I5" s="1" t="s">
        <v>50</v>
      </c>
      <c r="J5" s="1">
        <f t="shared" ref="J5:J29" si="4">IF(K5&lt;&gt;"",$N$74,"")</f>
        <v>0</v>
      </c>
      <c r="K5" s="1" t="s">
        <v>50</v>
      </c>
      <c r="M5" s="1" t="s">
        <v>19</v>
      </c>
      <c r="N5" s="1">
        <f t="shared" ref="N5:N7" si="5">N4+96</f>
        <v>224</v>
      </c>
    </row>
    <row r="6" spans="1:15" ht="16.5" x14ac:dyDescent="0.3">
      <c r="A6" s="1">
        <v>0.03</v>
      </c>
      <c r="B6" s="1">
        <f t="shared" si="0"/>
        <v>0</v>
      </c>
      <c r="C6" s="1" t="s">
        <v>50</v>
      </c>
      <c r="D6" s="1">
        <f t="shared" si="1"/>
        <v>0</v>
      </c>
      <c r="E6" s="1" t="s">
        <v>50</v>
      </c>
      <c r="F6" s="1" t="str">
        <f t="shared" si="2"/>
        <v/>
      </c>
      <c r="G6" s="1"/>
      <c r="H6" s="1" t="str">
        <f t="shared" si="3"/>
        <v/>
      </c>
      <c r="I6" s="1"/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5" x14ac:dyDescent="0.3">
      <c r="A7" s="1">
        <v>0.03</v>
      </c>
      <c r="B7" s="1">
        <f t="shared" ref="B7:B29" si="6">IF(C7&lt;&gt;"",$N$70,"")</f>
        <v>0</v>
      </c>
      <c r="C7" s="1" t="s">
        <v>48</v>
      </c>
      <c r="D7" s="1" t="str">
        <f t="shared" ref="D7:D29" si="7">IF(E7&lt;&gt;"",$N$71,"")</f>
        <v/>
      </c>
      <c r="E7" s="1"/>
      <c r="F7" s="1">
        <f t="shared" si="2"/>
        <v>0</v>
      </c>
      <c r="G7" s="1" t="s">
        <v>48</v>
      </c>
      <c r="H7" s="1" t="str">
        <f t="shared" ref="H7:H29" si="8">IF(I7&lt;&gt;"",$N$73,"")</f>
        <v/>
      </c>
      <c r="I7" s="1"/>
      <c r="J7" s="1">
        <f t="shared" si="4"/>
        <v>0</v>
      </c>
      <c r="K7" s="1" t="s">
        <v>48</v>
      </c>
      <c r="M7" s="1" t="s">
        <v>21</v>
      </c>
      <c r="N7" s="1">
        <f t="shared" si="5"/>
        <v>416</v>
      </c>
    </row>
    <row r="8" spans="1:15" ht="16.5" x14ac:dyDescent="0.3">
      <c r="A8" s="1">
        <v>0.03</v>
      </c>
      <c r="B8" s="1" t="str">
        <f t="shared" si="6"/>
        <v/>
      </c>
      <c r="C8" s="1"/>
      <c r="D8" s="1" t="str">
        <f t="shared" si="7"/>
        <v/>
      </c>
      <c r="E8" s="1"/>
      <c r="F8" s="1">
        <f t="shared" si="2"/>
        <v>0</v>
      </c>
      <c r="G8" s="1" t="s">
        <v>54</v>
      </c>
      <c r="H8" s="1">
        <f t="shared" si="8"/>
        <v>0</v>
      </c>
      <c r="I8" s="1" t="s">
        <v>50</v>
      </c>
      <c r="J8" s="1">
        <f t="shared" si="4"/>
        <v>0</v>
      </c>
      <c r="K8" s="1" t="s">
        <v>54</v>
      </c>
    </row>
    <row r="9" spans="1:15" ht="16.5" x14ac:dyDescent="0.3">
      <c r="A9" s="1">
        <v>0.03</v>
      </c>
      <c r="B9" s="1">
        <f t="shared" si="6"/>
        <v>0</v>
      </c>
      <c r="C9" s="1" t="s">
        <v>54</v>
      </c>
      <c r="D9" s="1">
        <f t="shared" si="7"/>
        <v>0</v>
      </c>
      <c r="E9" s="1" t="s">
        <v>50</v>
      </c>
      <c r="F9" s="1">
        <f t="shared" si="2"/>
        <v>0</v>
      </c>
      <c r="G9" s="1" t="s">
        <v>54</v>
      </c>
      <c r="H9" s="1" t="str">
        <f t="shared" si="8"/>
        <v/>
      </c>
      <c r="I9" s="1"/>
      <c r="J9" s="1" t="str">
        <f t="shared" si="4"/>
        <v/>
      </c>
      <c r="K9" s="1"/>
    </row>
    <row r="10" spans="1:15" x14ac:dyDescent="0.4">
      <c r="A10" s="1">
        <v>0.03</v>
      </c>
      <c r="B10" s="1" t="str">
        <f t="shared" si="6"/>
        <v/>
      </c>
      <c r="C10" s="1"/>
      <c r="D10" s="1">
        <f t="shared" si="7"/>
        <v>0</v>
      </c>
      <c r="E10" s="1" t="s">
        <v>54</v>
      </c>
      <c r="F10" s="1">
        <f t="shared" si="2"/>
        <v>0</v>
      </c>
      <c r="G10" s="1" t="s">
        <v>50</v>
      </c>
      <c r="H10" s="1">
        <f t="shared" si="8"/>
        <v>0</v>
      </c>
      <c r="I10" s="1" t="s">
        <v>54</v>
      </c>
      <c r="J10" s="1" t="str">
        <f t="shared" si="4"/>
        <v/>
      </c>
      <c r="K10" s="1"/>
      <c r="M10" t="s">
        <v>38</v>
      </c>
      <c r="N10" t="s">
        <v>26</v>
      </c>
      <c r="O10" t="s">
        <v>22</v>
      </c>
    </row>
    <row r="11" spans="1:15" x14ac:dyDescent="0.4">
      <c r="A11" s="1">
        <v>0.03</v>
      </c>
      <c r="B11" s="1" t="str">
        <f t="shared" si="6"/>
        <v/>
      </c>
      <c r="C11" s="1"/>
      <c r="D11" s="1">
        <f t="shared" si="7"/>
        <v>0</v>
      </c>
      <c r="E11" s="1" t="s">
        <v>41</v>
      </c>
      <c r="F11" s="1">
        <f t="shared" si="2"/>
        <v>0</v>
      </c>
      <c r="G11" s="1" t="s">
        <v>49</v>
      </c>
      <c r="H11" s="1">
        <f t="shared" si="8"/>
        <v>0</v>
      </c>
      <c r="I11" s="1" t="s">
        <v>41</v>
      </c>
      <c r="J11" s="1" t="str">
        <f t="shared" si="4"/>
        <v/>
      </c>
      <c r="K11" s="1"/>
      <c r="N11" t="s">
        <v>27</v>
      </c>
      <c r="O11" t="s">
        <v>23</v>
      </c>
    </row>
    <row r="12" spans="1:15" x14ac:dyDescent="0.4">
      <c r="A12" s="1">
        <v>0.03</v>
      </c>
      <c r="B12" s="1" t="str">
        <f t="shared" si="6"/>
        <v/>
      </c>
      <c r="C12" s="1"/>
      <c r="D12" s="1" t="str">
        <f t="shared" si="7"/>
        <v/>
      </c>
      <c r="E12" s="1"/>
      <c r="F12" s="1" t="str">
        <f t="shared" si="2"/>
        <v/>
      </c>
      <c r="G12" s="1"/>
      <c r="H12" s="1">
        <f t="shared" si="8"/>
        <v>0</v>
      </c>
      <c r="I12" s="1" t="s">
        <v>4</v>
      </c>
      <c r="J12" s="1">
        <f t="shared" si="4"/>
        <v>0</v>
      </c>
      <c r="K12" s="1" t="s">
        <v>54</v>
      </c>
      <c r="N12" t="s">
        <v>28</v>
      </c>
      <c r="O12" t="s">
        <v>24</v>
      </c>
    </row>
    <row r="13" spans="1:15" x14ac:dyDescent="0.4">
      <c r="A13" s="1">
        <v>0.03</v>
      </c>
      <c r="B13" s="1">
        <f t="shared" si="6"/>
        <v>0</v>
      </c>
      <c r="C13" s="1" t="s">
        <v>54</v>
      </c>
      <c r="D13" s="1">
        <f t="shared" si="7"/>
        <v>0</v>
      </c>
      <c r="E13" s="1" t="s">
        <v>4</v>
      </c>
      <c r="F13" s="1" t="str">
        <f t="shared" si="2"/>
        <v/>
      </c>
      <c r="G13" s="1"/>
      <c r="H13" s="1" t="str">
        <f t="shared" si="8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0.03</v>
      </c>
      <c r="B14" s="1">
        <f t="shared" si="6"/>
        <v>0</v>
      </c>
      <c r="C14" s="1" t="s">
        <v>4</v>
      </c>
      <c r="D14" s="1" t="str">
        <f t="shared" si="7"/>
        <v/>
      </c>
      <c r="E14" s="1"/>
      <c r="F14" s="1">
        <f t="shared" si="2"/>
        <v>0</v>
      </c>
      <c r="G14" s="1" t="s">
        <v>4</v>
      </c>
      <c r="H14" s="1" t="str">
        <f t="shared" si="8"/>
        <v/>
      </c>
      <c r="I14" s="1"/>
      <c r="J14" s="1">
        <f t="shared" si="4"/>
        <v>0</v>
      </c>
      <c r="K14" s="1" t="s">
        <v>4</v>
      </c>
      <c r="N14" t="s">
        <v>30</v>
      </c>
      <c r="O14" t="s">
        <v>39</v>
      </c>
    </row>
    <row r="15" spans="1:15" ht="16.5" x14ac:dyDescent="0.3">
      <c r="A15" s="1">
        <v>0.03</v>
      </c>
      <c r="B15" s="1" t="str">
        <f t="shared" si="6"/>
        <v/>
      </c>
      <c r="C15" s="1"/>
      <c r="D15" s="1">
        <f t="shared" si="7"/>
        <v>0</v>
      </c>
      <c r="E15" s="1" t="s">
        <v>4</v>
      </c>
      <c r="F15" s="1" t="str">
        <f t="shared" si="2"/>
        <v/>
      </c>
      <c r="G15" s="1"/>
      <c r="H15" s="1">
        <f t="shared" si="8"/>
        <v>0</v>
      </c>
      <c r="I15" s="1" t="s">
        <v>4</v>
      </c>
      <c r="J15" s="1" t="str">
        <f t="shared" si="4"/>
        <v/>
      </c>
      <c r="K15" s="1"/>
    </row>
    <row r="16" spans="1:15" x14ac:dyDescent="0.4">
      <c r="A16" s="1">
        <v>0.03</v>
      </c>
      <c r="B16" s="1" t="str">
        <f t="shared" si="6"/>
        <v/>
      </c>
      <c r="C16" s="1"/>
      <c r="D16" s="1">
        <f t="shared" si="7"/>
        <v>0</v>
      </c>
      <c r="E16" s="1" t="s">
        <v>50</v>
      </c>
      <c r="F16" s="1">
        <f t="shared" si="2"/>
        <v>0</v>
      </c>
      <c r="G16" s="1" t="s">
        <v>49</v>
      </c>
      <c r="H16" s="1">
        <f t="shared" si="8"/>
        <v>0</v>
      </c>
      <c r="I16" s="1" t="s">
        <v>50</v>
      </c>
      <c r="J16" s="1" t="str">
        <f t="shared" si="4"/>
        <v/>
      </c>
      <c r="K16" s="1"/>
      <c r="M16" t="s">
        <v>32</v>
      </c>
    </row>
    <row r="17" spans="1:13" ht="16.5" x14ac:dyDescent="0.3">
      <c r="A17" s="1">
        <v>0.03</v>
      </c>
      <c r="B17" s="1">
        <f t="shared" si="6"/>
        <v>0</v>
      </c>
      <c r="C17" s="1" t="s">
        <v>50</v>
      </c>
      <c r="D17" s="1" t="str">
        <f t="shared" si="7"/>
        <v/>
      </c>
      <c r="E17" s="1"/>
      <c r="F17" s="1" t="str">
        <f t="shared" si="2"/>
        <v/>
      </c>
      <c r="G17" s="1"/>
      <c r="H17" s="1" t="str">
        <f t="shared" si="8"/>
        <v/>
      </c>
      <c r="I17" s="1"/>
      <c r="J17" s="1">
        <f t="shared" si="4"/>
        <v>0</v>
      </c>
      <c r="K17" s="1" t="s">
        <v>50</v>
      </c>
      <c r="M17">
        <f>SUM(A:A)</f>
        <v>13.740000000000006</v>
      </c>
    </row>
    <row r="18" spans="1:13" ht="16.5" x14ac:dyDescent="0.3">
      <c r="A18" s="1">
        <v>0.03</v>
      </c>
      <c r="B18" s="1" t="str">
        <f t="shared" si="6"/>
        <v/>
      </c>
      <c r="C18" s="1"/>
      <c r="D18" s="1" t="str">
        <f t="shared" si="7"/>
        <v/>
      </c>
      <c r="E18" s="1"/>
      <c r="F18" s="1">
        <f t="shared" si="2"/>
        <v>0</v>
      </c>
      <c r="G18" s="1" t="s">
        <v>49</v>
      </c>
      <c r="H18" s="1" t="str">
        <f t="shared" si="8"/>
        <v/>
      </c>
      <c r="I18" s="1"/>
      <c r="J18" s="1" t="str">
        <f t="shared" si="4"/>
        <v/>
      </c>
      <c r="K18" s="1"/>
    </row>
    <row r="19" spans="1:13" ht="16.5" x14ac:dyDescent="0.3">
      <c r="A19" s="1">
        <v>0.03</v>
      </c>
      <c r="B19" s="1">
        <f t="shared" si="6"/>
        <v>0</v>
      </c>
      <c r="C19" s="1" t="s">
        <v>48</v>
      </c>
      <c r="D19" s="1" t="str">
        <f t="shared" si="7"/>
        <v/>
      </c>
      <c r="E19" s="1"/>
      <c r="F19" s="1" t="str">
        <f t="shared" si="2"/>
        <v/>
      </c>
      <c r="G19" s="1"/>
      <c r="H19" s="1" t="str">
        <f t="shared" si="8"/>
        <v/>
      </c>
      <c r="I19" s="1"/>
      <c r="J19" s="1" t="str">
        <f t="shared" si="4"/>
        <v/>
      </c>
      <c r="K19" s="1"/>
    </row>
    <row r="20" spans="1:13" ht="16.5" x14ac:dyDescent="0.3">
      <c r="A20" s="1">
        <v>0.03</v>
      </c>
      <c r="B20" s="1" t="str">
        <f t="shared" si="6"/>
        <v/>
      </c>
      <c r="C20" s="1"/>
      <c r="D20" s="1" t="str">
        <f t="shared" si="7"/>
        <v/>
      </c>
      <c r="E20" s="1"/>
      <c r="F20" s="1" t="str">
        <f t="shared" si="2"/>
        <v/>
      </c>
      <c r="G20" s="1"/>
      <c r="H20" s="1" t="str">
        <f t="shared" si="8"/>
        <v/>
      </c>
      <c r="I20" s="1"/>
      <c r="J20" s="1">
        <f t="shared" si="4"/>
        <v>0</v>
      </c>
      <c r="K20" s="1" t="s">
        <v>48</v>
      </c>
    </row>
    <row r="21" spans="1:13" ht="16.5" x14ac:dyDescent="0.3">
      <c r="A21" s="1">
        <v>0.03</v>
      </c>
      <c r="B21" s="1" t="str">
        <f t="shared" si="6"/>
        <v/>
      </c>
      <c r="C21" s="1"/>
      <c r="D21" s="1" t="str">
        <f t="shared" si="7"/>
        <v/>
      </c>
      <c r="E21" s="1"/>
      <c r="F21" s="1">
        <f t="shared" si="2"/>
        <v>0</v>
      </c>
      <c r="G21" s="1" t="s">
        <v>48</v>
      </c>
      <c r="H21" s="1" t="str">
        <f t="shared" si="8"/>
        <v/>
      </c>
      <c r="I21" s="1"/>
      <c r="J21" s="1" t="str">
        <f t="shared" si="4"/>
        <v/>
      </c>
      <c r="K21" s="1"/>
    </row>
    <row r="22" spans="1:13" ht="16.5" x14ac:dyDescent="0.3">
      <c r="A22" s="1">
        <v>0.03</v>
      </c>
      <c r="B22" s="1">
        <f t="shared" si="6"/>
        <v>0</v>
      </c>
      <c r="C22" s="1" t="s">
        <v>4</v>
      </c>
      <c r="D22" s="1" t="str">
        <f t="shared" si="7"/>
        <v/>
      </c>
      <c r="E22" s="1"/>
      <c r="F22" s="1">
        <f t="shared" si="2"/>
        <v>0</v>
      </c>
      <c r="G22" s="1" t="s">
        <v>4</v>
      </c>
      <c r="H22" s="1" t="str">
        <f t="shared" si="8"/>
        <v/>
      </c>
      <c r="I22" s="1"/>
      <c r="J22" s="1">
        <f t="shared" si="4"/>
        <v>0</v>
      </c>
      <c r="K22" s="1" t="s">
        <v>4</v>
      </c>
    </row>
    <row r="23" spans="1:13" ht="16.5" x14ac:dyDescent="0.3">
      <c r="A23" s="1">
        <v>0.03</v>
      </c>
      <c r="B23" s="1" t="str">
        <f t="shared" si="6"/>
        <v/>
      </c>
      <c r="C23" s="1"/>
      <c r="D23" s="1">
        <f t="shared" si="7"/>
        <v>0</v>
      </c>
      <c r="E23" s="1" t="s">
        <v>4</v>
      </c>
      <c r="F23" s="1">
        <f t="shared" si="2"/>
        <v>0</v>
      </c>
      <c r="G23" s="1" t="s">
        <v>4</v>
      </c>
      <c r="H23" s="1">
        <f t="shared" si="8"/>
        <v>0</v>
      </c>
      <c r="I23" s="1" t="s">
        <v>4</v>
      </c>
      <c r="J23" s="1" t="str">
        <f t="shared" si="4"/>
        <v/>
      </c>
      <c r="K23" s="1"/>
    </row>
    <row r="24" spans="1:13" ht="16.5" x14ac:dyDescent="0.3">
      <c r="A24" s="1">
        <v>0.03</v>
      </c>
      <c r="B24" s="1" t="str">
        <f t="shared" si="6"/>
        <v/>
      </c>
      <c r="C24" s="1"/>
      <c r="D24" s="1" t="str">
        <f t="shared" si="7"/>
        <v/>
      </c>
      <c r="E24" s="1"/>
      <c r="F24" s="1">
        <f t="shared" si="2"/>
        <v>0</v>
      </c>
      <c r="G24" s="1" t="s">
        <v>4</v>
      </c>
      <c r="H24" s="1" t="str">
        <f t="shared" si="8"/>
        <v/>
      </c>
      <c r="I24" s="1"/>
      <c r="J24" s="1" t="str">
        <f t="shared" si="4"/>
        <v/>
      </c>
      <c r="K24" s="1"/>
    </row>
    <row r="25" spans="1:13" ht="16.5" x14ac:dyDescent="0.3">
      <c r="A25" s="1">
        <v>0.03</v>
      </c>
      <c r="B25" s="1" t="str">
        <f t="shared" si="6"/>
        <v/>
      </c>
      <c r="C25" s="1"/>
      <c r="D25" s="1" t="str">
        <f t="shared" si="7"/>
        <v/>
      </c>
      <c r="E25" s="1"/>
      <c r="F25" s="1" t="str">
        <f t="shared" si="2"/>
        <v/>
      </c>
      <c r="G25" s="1"/>
      <c r="H25" s="1">
        <f t="shared" si="8"/>
        <v>0</v>
      </c>
      <c r="I25" s="1" t="s">
        <v>54</v>
      </c>
      <c r="J25" s="1">
        <f t="shared" si="4"/>
        <v>0</v>
      </c>
      <c r="K25" s="1" t="s">
        <v>4</v>
      </c>
    </row>
    <row r="26" spans="1:13" ht="16.5" x14ac:dyDescent="0.3">
      <c r="A26" s="1">
        <v>0.03</v>
      </c>
      <c r="B26" s="1">
        <f t="shared" si="6"/>
        <v>0</v>
      </c>
      <c r="C26" s="1" t="s">
        <v>4</v>
      </c>
      <c r="D26" s="1">
        <f t="shared" si="7"/>
        <v>0</v>
      </c>
      <c r="E26" s="1" t="s">
        <v>54</v>
      </c>
      <c r="F26" s="1" t="str">
        <f t="shared" si="2"/>
        <v/>
      </c>
      <c r="G26" s="1"/>
      <c r="H26" s="1" t="str">
        <f t="shared" si="8"/>
        <v/>
      </c>
      <c r="I26" s="1"/>
      <c r="J26" s="1" t="str">
        <f t="shared" si="4"/>
        <v/>
      </c>
      <c r="K26" s="1"/>
    </row>
    <row r="27" spans="1:13" ht="16.5" x14ac:dyDescent="0.3">
      <c r="A27" s="1">
        <v>0.03</v>
      </c>
      <c r="B27" s="1" t="str">
        <f t="shared" si="6"/>
        <v/>
      </c>
      <c r="C27" s="1"/>
      <c r="D27" s="1">
        <f t="shared" si="7"/>
        <v>0</v>
      </c>
      <c r="E27" s="1" t="s">
        <v>54</v>
      </c>
      <c r="F27" s="1" t="str">
        <f t="shared" si="2"/>
        <v/>
      </c>
      <c r="G27" s="1"/>
      <c r="H27" s="1">
        <f t="shared" si="8"/>
        <v>0</v>
      </c>
      <c r="I27" s="1" t="s">
        <v>54</v>
      </c>
      <c r="J27" s="1" t="str">
        <f t="shared" si="4"/>
        <v/>
      </c>
      <c r="K27" s="1"/>
    </row>
    <row r="28" spans="1:13" ht="16.5" x14ac:dyDescent="0.3">
      <c r="A28" s="1">
        <v>0.03</v>
      </c>
      <c r="B28" s="1">
        <f t="shared" si="6"/>
        <v>0</v>
      </c>
      <c r="C28" s="1" t="s">
        <v>54</v>
      </c>
      <c r="D28" s="1" t="str">
        <f t="shared" si="7"/>
        <v/>
      </c>
      <c r="E28" s="1"/>
      <c r="F28" s="1">
        <f t="shared" si="2"/>
        <v>0</v>
      </c>
      <c r="G28" s="1" t="s">
        <v>54</v>
      </c>
      <c r="H28" s="1" t="str">
        <f t="shared" si="8"/>
        <v/>
      </c>
      <c r="I28" s="1"/>
      <c r="J28" s="1">
        <f t="shared" si="4"/>
        <v>0</v>
      </c>
      <c r="K28" s="1" t="s">
        <v>54</v>
      </c>
    </row>
    <row r="29" spans="1:13" ht="16.5" x14ac:dyDescent="0.3">
      <c r="A29" s="1">
        <v>0.01</v>
      </c>
      <c r="B29" s="1" t="str">
        <f t="shared" si="6"/>
        <v/>
      </c>
      <c r="C29" s="1"/>
      <c r="D29" s="1">
        <f t="shared" si="7"/>
        <v>0</v>
      </c>
      <c r="E29" s="1" t="s">
        <v>54</v>
      </c>
      <c r="F29" s="1" t="str">
        <f t="shared" si="2"/>
        <v/>
      </c>
      <c r="G29" s="1"/>
      <c r="H29" s="1">
        <f t="shared" si="8"/>
        <v>0</v>
      </c>
      <c r="I29" s="1" t="s">
        <v>54</v>
      </c>
      <c r="J29" s="1" t="str">
        <f t="shared" si="4"/>
        <v/>
      </c>
      <c r="K29" s="1"/>
    </row>
    <row r="30" spans="1:13" ht="16.5" x14ac:dyDescent="0.3">
      <c r="A30" s="3">
        <v>5</v>
      </c>
      <c r="B30" s="1" t="s">
        <v>53</v>
      </c>
      <c r="C30" s="1"/>
      <c r="D30" s="1"/>
      <c r="E30" s="1"/>
      <c r="F30" s="1" t="str">
        <f t="shared" si="2"/>
        <v/>
      </c>
      <c r="G30" s="1"/>
      <c r="H30" s="1"/>
      <c r="I30" s="1"/>
      <c r="J30" s="1" t="str">
        <f t="shared" ref="J30:J31" si="9">IF(K30&lt;&gt;"",$N$74,"")</f>
        <v/>
      </c>
      <c r="K30" s="1"/>
    </row>
    <row r="31" spans="1:13" ht="16.5" x14ac:dyDescent="0.3">
      <c r="A31" s="1">
        <v>0.01</v>
      </c>
      <c r="B31" s="1" t="str">
        <f>IF(C31&lt;&gt;"",$N$70,"")</f>
        <v/>
      </c>
      <c r="C31" s="1"/>
      <c r="D31" s="1" t="str">
        <f t="shared" ref="D31" si="10">IF(E31&lt;&gt;"",$N$71,"")</f>
        <v/>
      </c>
      <c r="E31" s="1"/>
      <c r="F31" s="1">
        <f t="shared" si="2"/>
        <v>0</v>
      </c>
      <c r="G31" s="1" t="s">
        <v>54</v>
      </c>
      <c r="H31" s="1"/>
      <c r="I31" s="1"/>
      <c r="J31" s="1" t="str">
        <f t="shared" si="9"/>
        <v/>
      </c>
      <c r="K31" s="1"/>
    </row>
    <row r="32" spans="1:13" ht="16.5" x14ac:dyDescent="0.3">
      <c r="A32" s="1">
        <v>3</v>
      </c>
      <c r="B32" s="1" t="s">
        <v>52</v>
      </c>
      <c r="C32" s="1"/>
      <c r="D32" s="1"/>
      <c r="E32" s="1"/>
      <c r="F32" s="1"/>
      <c r="G32" s="1"/>
      <c r="H32" s="1"/>
      <c r="I32" s="1"/>
      <c r="J32" s="1"/>
      <c r="K32" s="1"/>
    </row>
    <row r="33" spans="1:11" ht="16.5" x14ac:dyDescent="0.3">
      <c r="A33" s="1">
        <v>0</v>
      </c>
      <c r="B33" s="1" t="s">
        <v>51</v>
      </c>
      <c r="C33" s="1"/>
      <c r="D33" s="1"/>
      <c r="E33" s="1"/>
      <c r="F33" s="1"/>
      <c r="G33" s="1"/>
      <c r="H33" s="1"/>
      <c r="I33" s="1"/>
      <c r="J33" s="1"/>
      <c r="K33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97"/>
  <sheetViews>
    <sheetView workbookViewId="0">
      <pane ySplit="1" topLeftCell="A83" activePane="bottomLeft" state="frozen"/>
      <selection pane="bottomLeft" activeCell="A69" sqref="A69:K96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1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6.5" x14ac:dyDescent="0.3">
      <c r="A2" s="1">
        <v>0</v>
      </c>
      <c r="B2" s="1" t="s">
        <v>42</v>
      </c>
      <c r="C2" s="1"/>
      <c r="D2" s="1" t="str">
        <f>IF(E2&lt;&gt;"",$N$72,"")</f>
        <v/>
      </c>
      <c r="E2" s="1"/>
      <c r="F2" s="1" t="str">
        <f>IF(G2&lt;&gt;"",$N$73,"")</f>
        <v/>
      </c>
      <c r="G2" s="1"/>
      <c r="H2" s="1" t="str">
        <f>IF(I2&lt;&gt;"",$N$74,"")</f>
        <v/>
      </c>
      <c r="I2" s="1"/>
      <c r="J2" s="1" t="str">
        <f>IF(K2&lt;&gt;"",$N$75,"")</f>
        <v/>
      </c>
      <c r="K2" s="1"/>
    </row>
    <row r="3" spans="1:11" ht="16.5" x14ac:dyDescent="0.3">
      <c r="A3" s="1">
        <v>0</v>
      </c>
      <c r="B3" s="1" t="s">
        <v>43</v>
      </c>
      <c r="C3" s="1"/>
      <c r="D3" s="1"/>
      <c r="E3" s="1"/>
      <c r="F3" s="1"/>
      <c r="G3" s="1"/>
      <c r="H3" s="1"/>
      <c r="I3" s="1"/>
      <c r="J3" s="1"/>
      <c r="K3" s="1"/>
    </row>
    <row r="4" spans="1:11" ht="16.5" x14ac:dyDescent="0.3">
      <c r="A4" s="1">
        <v>0</v>
      </c>
      <c r="B4" s="1" t="s">
        <v>44</v>
      </c>
      <c r="C4" s="1"/>
      <c r="D4" s="1"/>
      <c r="E4" s="1"/>
      <c r="F4" s="1"/>
      <c r="G4" s="1"/>
      <c r="H4" s="1"/>
      <c r="I4" s="1"/>
      <c r="J4" s="1"/>
      <c r="K4" s="1"/>
    </row>
    <row r="5" spans="1:11" ht="16.5" x14ac:dyDescent="0.3">
      <c r="A5" s="1">
        <v>0.03</v>
      </c>
      <c r="B5" s="1">
        <f t="shared" ref="B5:B47" si="0">IF(C5&lt;&gt;"",$N$71,"")</f>
        <v>32</v>
      </c>
      <c r="C5" s="1" t="s">
        <v>67</v>
      </c>
      <c r="D5" s="1">
        <f t="shared" ref="D5:D65" si="1">IF(E5&lt;&gt;"",$N$72,"")</f>
        <v>128</v>
      </c>
      <c r="E5" s="1" t="s">
        <v>63</v>
      </c>
      <c r="F5" s="1">
        <f>IF(G5&lt;&gt;"",$N$73,"")</f>
        <v>224</v>
      </c>
      <c r="G5" s="1" t="s">
        <v>67</v>
      </c>
      <c r="H5" s="1">
        <f t="shared" ref="H5:H47" si="2">IF(I5&lt;&gt;"",$N$74,"")</f>
        <v>320</v>
      </c>
      <c r="I5" s="1" t="s">
        <v>63</v>
      </c>
      <c r="J5" s="1">
        <f>IF(K5&lt;&gt;"",$N$75,"")</f>
        <v>416</v>
      </c>
      <c r="K5" s="1" t="s">
        <v>67</v>
      </c>
    </row>
    <row r="6" spans="1:11" ht="16.5" x14ac:dyDescent="0.3">
      <c r="A6" s="1">
        <v>0.03</v>
      </c>
      <c r="B6" s="1" t="str">
        <f t="shared" si="0"/>
        <v/>
      </c>
      <c r="C6" s="1"/>
      <c r="D6" s="1">
        <f t="shared" si="1"/>
        <v>128</v>
      </c>
      <c r="E6" s="1" t="s">
        <v>67</v>
      </c>
      <c r="F6" s="1" t="str">
        <f>IF(G6&lt;&gt;"",$N$73,"")</f>
        <v/>
      </c>
      <c r="G6" s="1"/>
      <c r="H6" s="1">
        <f t="shared" si="2"/>
        <v>320</v>
      </c>
      <c r="I6" s="1" t="s">
        <v>67</v>
      </c>
      <c r="J6" s="1" t="str">
        <f>IF(K6&lt;&gt;"",$N$75,"")</f>
        <v/>
      </c>
      <c r="K6" s="1"/>
    </row>
    <row r="7" spans="1:11" ht="16.5" x14ac:dyDescent="0.3">
      <c r="A7" s="1">
        <v>0.03</v>
      </c>
      <c r="B7" s="1">
        <f t="shared" si="0"/>
        <v>32</v>
      </c>
      <c r="C7" s="1" t="s">
        <v>62</v>
      </c>
      <c r="D7" s="1" t="str">
        <f t="shared" si="1"/>
        <v/>
      </c>
      <c r="E7" s="1"/>
      <c r="F7" s="1">
        <f>IF(G7&lt;&gt;"",$N$73,"")</f>
        <v>224</v>
      </c>
      <c r="G7" s="1" t="s">
        <v>62</v>
      </c>
      <c r="H7" s="1" t="str">
        <f t="shared" si="2"/>
        <v/>
      </c>
      <c r="I7" s="1"/>
      <c r="J7" s="1">
        <f>IF(K7&lt;&gt;"",$N$75,"")</f>
        <v>416</v>
      </c>
      <c r="K7" s="1" t="s">
        <v>62</v>
      </c>
    </row>
    <row r="8" spans="1:11" ht="16.5" x14ac:dyDescent="0.3">
      <c r="A8" s="1">
        <v>0.1</v>
      </c>
      <c r="B8" s="1" t="str">
        <f t="shared" si="0"/>
        <v/>
      </c>
      <c r="C8" s="1"/>
      <c r="D8" s="1">
        <f t="shared" si="1"/>
        <v>128</v>
      </c>
      <c r="E8" s="1" t="s">
        <v>45</v>
      </c>
      <c r="F8" s="1" t="str">
        <f>IF(G8&lt;&gt;"",$N$70,"")</f>
        <v/>
      </c>
      <c r="G8" s="1"/>
      <c r="H8" s="1">
        <f t="shared" si="2"/>
        <v>320</v>
      </c>
      <c r="I8" s="1" t="s">
        <v>45</v>
      </c>
      <c r="J8" s="1" t="str">
        <f>IF(K8&lt;&gt;"",$N$72,"")</f>
        <v/>
      </c>
      <c r="K8" s="1"/>
    </row>
    <row r="9" spans="1:11" ht="16.5" x14ac:dyDescent="0.3">
      <c r="A9" s="1">
        <v>0.03</v>
      </c>
      <c r="B9" s="1">
        <f t="shared" si="0"/>
        <v>32</v>
      </c>
      <c r="C9" s="1" t="s">
        <v>62</v>
      </c>
      <c r="D9" s="1" t="str">
        <f t="shared" si="1"/>
        <v/>
      </c>
      <c r="E9" s="1"/>
      <c r="F9" s="1">
        <f t="shared" ref="F9:F47" si="3">IF(G9&lt;&gt;"",$N$73,"")</f>
        <v>224</v>
      </c>
      <c r="G9" s="1" t="s">
        <v>62</v>
      </c>
      <c r="H9" s="1" t="str">
        <f t="shared" si="2"/>
        <v/>
      </c>
      <c r="I9" s="1"/>
      <c r="J9" s="1">
        <f t="shared" ref="J9:J51" si="4">IF(K9&lt;&gt;"",$N$75,"")</f>
        <v>416</v>
      </c>
      <c r="K9" s="1" t="s">
        <v>62</v>
      </c>
    </row>
    <row r="10" spans="1:11" ht="16.5" x14ac:dyDescent="0.3">
      <c r="A10" s="1">
        <v>0.03</v>
      </c>
      <c r="B10" s="1">
        <f t="shared" si="0"/>
        <v>32</v>
      </c>
      <c r="C10" s="1" t="s">
        <v>62</v>
      </c>
      <c r="D10" s="1" t="str">
        <f t="shared" si="1"/>
        <v/>
      </c>
      <c r="E10" s="1"/>
      <c r="F10" s="1">
        <f t="shared" si="3"/>
        <v>224</v>
      </c>
      <c r="G10" s="1" t="s">
        <v>62</v>
      </c>
      <c r="H10" s="1" t="str">
        <f t="shared" si="2"/>
        <v/>
      </c>
      <c r="I10" s="1"/>
      <c r="J10" s="1">
        <f t="shared" si="4"/>
        <v>416</v>
      </c>
      <c r="K10" s="1" t="s">
        <v>62</v>
      </c>
    </row>
    <row r="11" spans="1:11" ht="16.5" x14ac:dyDescent="0.3">
      <c r="A11" s="1">
        <v>0.03</v>
      </c>
      <c r="B11" s="1">
        <f t="shared" si="0"/>
        <v>32</v>
      </c>
      <c r="C11" s="1" t="s">
        <v>62</v>
      </c>
      <c r="D11" s="1" t="str">
        <f t="shared" si="1"/>
        <v/>
      </c>
      <c r="E11" s="1"/>
      <c r="F11" s="1">
        <f t="shared" si="3"/>
        <v>224</v>
      </c>
      <c r="G11" s="1" t="s">
        <v>62</v>
      </c>
      <c r="H11" s="1" t="str">
        <f t="shared" si="2"/>
        <v/>
      </c>
      <c r="I11" s="1"/>
      <c r="J11" s="1">
        <f t="shared" si="4"/>
        <v>416</v>
      </c>
      <c r="K11" s="1" t="s">
        <v>62</v>
      </c>
    </row>
    <row r="12" spans="1:11" ht="16.5" x14ac:dyDescent="0.3">
      <c r="A12" s="1">
        <v>0.03</v>
      </c>
      <c r="B12" s="1">
        <f t="shared" si="0"/>
        <v>32</v>
      </c>
      <c r="C12" s="1" t="s">
        <v>62</v>
      </c>
      <c r="D12" s="1" t="str">
        <f t="shared" si="1"/>
        <v/>
      </c>
      <c r="E12" s="1"/>
      <c r="F12" s="1">
        <f t="shared" si="3"/>
        <v>224</v>
      </c>
      <c r="G12" s="1" t="s">
        <v>62</v>
      </c>
      <c r="H12" s="1" t="str">
        <f t="shared" si="2"/>
        <v/>
      </c>
      <c r="I12" s="1"/>
      <c r="J12" s="1">
        <f t="shared" si="4"/>
        <v>416</v>
      </c>
      <c r="K12" s="1" t="s">
        <v>62</v>
      </c>
    </row>
    <row r="13" spans="1:11" ht="16.5" x14ac:dyDescent="0.3">
      <c r="A13" s="1">
        <v>0.03</v>
      </c>
      <c r="B13" s="1">
        <f t="shared" si="0"/>
        <v>32</v>
      </c>
      <c r="C13" s="1" t="s">
        <v>62</v>
      </c>
      <c r="D13" s="1" t="str">
        <f t="shared" si="1"/>
        <v/>
      </c>
      <c r="E13" s="1"/>
      <c r="F13" s="1">
        <f t="shared" si="3"/>
        <v>224</v>
      </c>
      <c r="G13" s="1" t="s">
        <v>62</v>
      </c>
      <c r="H13" s="1" t="str">
        <f t="shared" si="2"/>
        <v/>
      </c>
      <c r="I13" s="1"/>
      <c r="J13" s="1">
        <f t="shared" si="4"/>
        <v>416</v>
      </c>
      <c r="K13" s="1" t="s">
        <v>62</v>
      </c>
    </row>
    <row r="14" spans="1:11" ht="16.5" x14ac:dyDescent="0.3">
      <c r="A14" s="1">
        <v>0.03</v>
      </c>
      <c r="B14" s="1">
        <f t="shared" si="0"/>
        <v>32</v>
      </c>
      <c r="C14" s="1" t="s">
        <v>62</v>
      </c>
      <c r="D14" s="1" t="str">
        <f t="shared" si="1"/>
        <v/>
      </c>
      <c r="E14" s="1"/>
      <c r="F14" s="1">
        <f t="shared" si="3"/>
        <v>224</v>
      </c>
      <c r="G14" s="1" t="s">
        <v>62</v>
      </c>
      <c r="H14" s="1" t="str">
        <f t="shared" si="2"/>
        <v/>
      </c>
      <c r="I14" s="1"/>
      <c r="J14" s="1">
        <f t="shared" si="4"/>
        <v>416</v>
      </c>
      <c r="K14" s="1" t="s">
        <v>62</v>
      </c>
    </row>
    <row r="15" spans="1:11" ht="16.5" x14ac:dyDescent="0.3">
      <c r="A15" s="1">
        <v>0.03</v>
      </c>
      <c r="B15" s="1">
        <f t="shared" si="0"/>
        <v>32</v>
      </c>
      <c r="C15" s="1" t="s">
        <v>62</v>
      </c>
      <c r="D15" s="1" t="str">
        <f t="shared" si="1"/>
        <v/>
      </c>
      <c r="E15" s="1"/>
      <c r="F15" s="1">
        <f t="shared" si="3"/>
        <v>224</v>
      </c>
      <c r="G15" s="1" t="s">
        <v>62</v>
      </c>
      <c r="H15" s="1" t="str">
        <f t="shared" si="2"/>
        <v/>
      </c>
      <c r="I15" s="1"/>
      <c r="J15" s="1">
        <f t="shared" si="4"/>
        <v>416</v>
      </c>
      <c r="K15" s="1" t="s">
        <v>62</v>
      </c>
    </row>
    <row r="16" spans="1:11" ht="16.5" x14ac:dyDescent="0.3">
      <c r="A16" s="1">
        <v>0.03</v>
      </c>
      <c r="B16" s="1">
        <f t="shared" si="0"/>
        <v>32</v>
      </c>
      <c r="C16" s="1" t="s">
        <v>62</v>
      </c>
      <c r="D16" s="1" t="str">
        <f t="shared" si="1"/>
        <v/>
      </c>
      <c r="E16" s="1"/>
      <c r="F16" s="1">
        <f t="shared" si="3"/>
        <v>224</v>
      </c>
      <c r="G16" s="1" t="s">
        <v>62</v>
      </c>
      <c r="H16" s="1" t="str">
        <f t="shared" si="2"/>
        <v/>
      </c>
      <c r="I16" s="1"/>
      <c r="J16" s="1">
        <f t="shared" si="4"/>
        <v>416</v>
      </c>
      <c r="K16" s="1" t="s">
        <v>62</v>
      </c>
    </row>
    <row r="17" spans="1:11" ht="16.5" x14ac:dyDescent="0.3">
      <c r="A17" s="1">
        <v>0.03</v>
      </c>
      <c r="B17" s="1">
        <f t="shared" si="0"/>
        <v>32</v>
      </c>
      <c r="C17" s="1" t="s">
        <v>62</v>
      </c>
      <c r="D17" s="1" t="str">
        <f t="shared" si="1"/>
        <v/>
      </c>
      <c r="E17" s="1"/>
      <c r="F17" s="1">
        <f t="shared" si="3"/>
        <v>224</v>
      </c>
      <c r="G17" s="1" t="s">
        <v>62</v>
      </c>
      <c r="H17" s="1" t="str">
        <f t="shared" si="2"/>
        <v/>
      </c>
      <c r="I17" s="1"/>
      <c r="J17" s="1">
        <f t="shared" si="4"/>
        <v>416</v>
      </c>
      <c r="K17" s="1" t="s">
        <v>62</v>
      </c>
    </row>
    <row r="18" spans="1:11" ht="16.5" x14ac:dyDescent="0.3">
      <c r="A18" s="1">
        <v>0.03</v>
      </c>
      <c r="B18" s="1">
        <f t="shared" si="0"/>
        <v>32</v>
      </c>
      <c r="C18" s="1" t="s">
        <v>62</v>
      </c>
      <c r="D18" s="1" t="str">
        <f t="shared" si="1"/>
        <v/>
      </c>
      <c r="E18" s="1"/>
      <c r="F18" s="1">
        <f t="shared" si="3"/>
        <v>224</v>
      </c>
      <c r="G18" s="1" t="s">
        <v>62</v>
      </c>
      <c r="H18" s="1" t="str">
        <f t="shared" si="2"/>
        <v/>
      </c>
      <c r="I18" s="1"/>
      <c r="J18" s="1">
        <f t="shared" si="4"/>
        <v>416</v>
      </c>
      <c r="K18" s="1" t="s">
        <v>62</v>
      </c>
    </row>
    <row r="19" spans="1:11" ht="16.5" x14ac:dyDescent="0.3">
      <c r="A19" s="1">
        <v>0.03</v>
      </c>
      <c r="B19" s="1">
        <f t="shared" si="0"/>
        <v>32</v>
      </c>
      <c r="C19" s="1" t="s">
        <v>62</v>
      </c>
      <c r="D19" s="1" t="str">
        <f t="shared" si="1"/>
        <v/>
      </c>
      <c r="E19" s="1"/>
      <c r="F19" s="1">
        <f t="shared" si="3"/>
        <v>224</v>
      </c>
      <c r="G19" s="1" t="s">
        <v>62</v>
      </c>
      <c r="H19" s="1" t="str">
        <f t="shared" si="2"/>
        <v/>
      </c>
      <c r="I19" s="1"/>
      <c r="J19" s="1">
        <f t="shared" si="4"/>
        <v>416</v>
      </c>
      <c r="K19" s="1" t="s">
        <v>62</v>
      </c>
    </row>
    <row r="20" spans="1:11" ht="16.5" x14ac:dyDescent="0.3">
      <c r="A20" s="1">
        <v>0.03</v>
      </c>
      <c r="B20" s="1">
        <f t="shared" si="0"/>
        <v>32</v>
      </c>
      <c r="C20" s="1" t="s">
        <v>62</v>
      </c>
      <c r="D20" s="1" t="str">
        <f t="shared" si="1"/>
        <v/>
      </c>
      <c r="E20" s="1"/>
      <c r="F20" s="1">
        <f t="shared" si="3"/>
        <v>224</v>
      </c>
      <c r="G20" s="1" t="s">
        <v>62</v>
      </c>
      <c r="H20" s="1" t="str">
        <f t="shared" si="2"/>
        <v/>
      </c>
      <c r="I20" s="1"/>
      <c r="J20" s="1">
        <f t="shared" si="4"/>
        <v>416</v>
      </c>
      <c r="K20" s="1" t="s">
        <v>62</v>
      </c>
    </row>
    <row r="21" spans="1:11" ht="16.5" x14ac:dyDescent="0.3">
      <c r="A21" s="1">
        <v>0.03</v>
      </c>
      <c r="B21" s="1">
        <f t="shared" si="0"/>
        <v>32</v>
      </c>
      <c r="C21" s="1" t="s">
        <v>62</v>
      </c>
      <c r="D21" s="1" t="str">
        <f t="shared" si="1"/>
        <v/>
      </c>
      <c r="E21" s="1"/>
      <c r="F21" s="1">
        <f t="shared" si="3"/>
        <v>224</v>
      </c>
      <c r="G21" s="1" t="s">
        <v>62</v>
      </c>
      <c r="H21" s="1" t="str">
        <f t="shared" si="2"/>
        <v/>
      </c>
      <c r="I21" s="1"/>
      <c r="J21" s="1">
        <f t="shared" si="4"/>
        <v>416</v>
      </c>
      <c r="K21" s="1" t="s">
        <v>62</v>
      </c>
    </row>
    <row r="22" spans="1:11" ht="16.5" x14ac:dyDescent="0.3">
      <c r="A22" s="1">
        <v>0.03</v>
      </c>
      <c r="B22" s="1">
        <f t="shared" si="0"/>
        <v>32</v>
      </c>
      <c r="C22" s="1" t="s">
        <v>62</v>
      </c>
      <c r="D22" s="1" t="str">
        <f t="shared" si="1"/>
        <v/>
      </c>
      <c r="E22" s="1"/>
      <c r="F22" s="1">
        <f t="shared" si="3"/>
        <v>224</v>
      </c>
      <c r="G22" s="1" t="s">
        <v>62</v>
      </c>
      <c r="H22" s="1" t="str">
        <f t="shared" si="2"/>
        <v/>
      </c>
      <c r="I22" s="1"/>
      <c r="J22" s="1">
        <f t="shared" si="4"/>
        <v>416</v>
      </c>
      <c r="K22" s="1" t="s">
        <v>62</v>
      </c>
    </row>
    <row r="23" spans="1:11" ht="16.5" x14ac:dyDescent="0.3">
      <c r="A23" s="1">
        <v>0.03</v>
      </c>
      <c r="B23" s="1">
        <f t="shared" si="0"/>
        <v>32</v>
      </c>
      <c r="C23" s="1" t="s">
        <v>62</v>
      </c>
      <c r="D23" s="1" t="str">
        <f t="shared" si="1"/>
        <v/>
      </c>
      <c r="E23" s="1"/>
      <c r="F23" s="1">
        <f t="shared" si="3"/>
        <v>224</v>
      </c>
      <c r="G23" s="1" t="s">
        <v>62</v>
      </c>
      <c r="H23" s="1" t="str">
        <f t="shared" si="2"/>
        <v/>
      </c>
      <c r="I23" s="1"/>
      <c r="J23" s="1">
        <f t="shared" si="4"/>
        <v>416</v>
      </c>
      <c r="K23" s="1" t="s">
        <v>62</v>
      </c>
    </row>
    <row r="24" spans="1:11" ht="16.5" x14ac:dyDescent="0.3">
      <c r="A24" s="1">
        <v>0.03</v>
      </c>
      <c r="B24" s="1">
        <f t="shared" si="0"/>
        <v>32</v>
      </c>
      <c r="C24" s="1" t="s">
        <v>62</v>
      </c>
      <c r="D24" s="1" t="str">
        <f t="shared" si="1"/>
        <v/>
      </c>
      <c r="E24" s="1"/>
      <c r="F24" s="1">
        <f t="shared" si="3"/>
        <v>224</v>
      </c>
      <c r="G24" s="1" t="s">
        <v>62</v>
      </c>
      <c r="H24" s="1" t="str">
        <f t="shared" si="2"/>
        <v/>
      </c>
      <c r="I24" s="1"/>
      <c r="J24" s="1">
        <f t="shared" si="4"/>
        <v>416</v>
      </c>
      <c r="K24" s="1" t="s">
        <v>62</v>
      </c>
    </row>
    <row r="25" spans="1:11" ht="16.5" x14ac:dyDescent="0.3">
      <c r="A25" s="1">
        <v>0.03</v>
      </c>
      <c r="B25" s="1">
        <f t="shared" si="0"/>
        <v>32</v>
      </c>
      <c r="C25" s="1" t="s">
        <v>62</v>
      </c>
      <c r="D25" s="1" t="str">
        <f t="shared" si="1"/>
        <v/>
      </c>
      <c r="E25" s="1"/>
      <c r="F25" s="1">
        <f t="shared" si="3"/>
        <v>224</v>
      </c>
      <c r="G25" s="1" t="s">
        <v>62</v>
      </c>
      <c r="H25" s="1" t="str">
        <f t="shared" si="2"/>
        <v/>
      </c>
      <c r="I25" s="1"/>
      <c r="J25" s="1">
        <f t="shared" si="4"/>
        <v>416</v>
      </c>
      <c r="K25" s="1" t="s">
        <v>62</v>
      </c>
    </row>
    <row r="26" spans="1:11" ht="16.5" x14ac:dyDescent="0.3">
      <c r="A26" s="1">
        <v>0.03</v>
      </c>
      <c r="B26" s="1">
        <f t="shared" si="0"/>
        <v>32</v>
      </c>
      <c r="C26" s="1" t="s">
        <v>62</v>
      </c>
      <c r="D26" s="1" t="str">
        <f t="shared" si="1"/>
        <v/>
      </c>
      <c r="E26" s="1"/>
      <c r="F26" s="1">
        <f t="shared" si="3"/>
        <v>224</v>
      </c>
      <c r="G26" s="1" t="s">
        <v>62</v>
      </c>
      <c r="H26" s="1" t="str">
        <f t="shared" si="2"/>
        <v/>
      </c>
      <c r="I26" s="1"/>
      <c r="J26" s="1">
        <f t="shared" si="4"/>
        <v>416</v>
      </c>
      <c r="K26" s="1" t="s">
        <v>62</v>
      </c>
    </row>
    <row r="27" spans="1:11" ht="16.5" x14ac:dyDescent="0.3">
      <c r="A27" s="1">
        <v>0.03</v>
      </c>
      <c r="B27" s="1">
        <f t="shared" si="0"/>
        <v>32</v>
      </c>
      <c r="C27" s="1" t="s">
        <v>62</v>
      </c>
      <c r="D27" s="1" t="str">
        <f t="shared" si="1"/>
        <v/>
      </c>
      <c r="E27" s="1"/>
      <c r="F27" s="1">
        <f t="shared" si="3"/>
        <v>224</v>
      </c>
      <c r="G27" s="1" t="s">
        <v>62</v>
      </c>
      <c r="H27" s="1" t="str">
        <f t="shared" si="2"/>
        <v/>
      </c>
      <c r="I27" s="1"/>
      <c r="J27" s="1">
        <f t="shared" si="4"/>
        <v>416</v>
      </c>
      <c r="K27" s="1" t="s">
        <v>62</v>
      </c>
    </row>
    <row r="28" spans="1:11" ht="16.5" x14ac:dyDescent="0.3">
      <c r="A28" s="1">
        <v>0.03</v>
      </c>
      <c r="B28" s="1">
        <f t="shared" si="0"/>
        <v>32</v>
      </c>
      <c r="C28" s="1" t="s">
        <v>62</v>
      </c>
      <c r="D28" s="1" t="str">
        <f t="shared" si="1"/>
        <v/>
      </c>
      <c r="E28" s="1"/>
      <c r="F28" s="1">
        <f t="shared" si="3"/>
        <v>224</v>
      </c>
      <c r="G28" s="1" t="s">
        <v>62</v>
      </c>
      <c r="H28" s="1" t="str">
        <f t="shared" si="2"/>
        <v/>
      </c>
      <c r="I28" s="1"/>
      <c r="J28" s="1">
        <f t="shared" si="4"/>
        <v>416</v>
      </c>
      <c r="K28" s="1" t="s">
        <v>62</v>
      </c>
    </row>
    <row r="29" spans="1:11" ht="16.5" x14ac:dyDescent="0.3">
      <c r="A29" s="1">
        <v>0.03</v>
      </c>
      <c r="B29" s="1">
        <f t="shared" si="0"/>
        <v>32</v>
      </c>
      <c r="C29" s="1" t="s">
        <v>62</v>
      </c>
      <c r="D29" s="1" t="str">
        <f t="shared" si="1"/>
        <v/>
      </c>
      <c r="E29" s="1"/>
      <c r="F29" s="1">
        <f t="shared" si="3"/>
        <v>224</v>
      </c>
      <c r="G29" s="1" t="s">
        <v>62</v>
      </c>
      <c r="H29" s="1" t="str">
        <f t="shared" si="2"/>
        <v/>
      </c>
      <c r="I29" s="1"/>
      <c r="J29" s="1">
        <f t="shared" si="4"/>
        <v>416</v>
      </c>
      <c r="K29" s="1" t="s">
        <v>62</v>
      </c>
    </row>
    <row r="30" spans="1:11" ht="16.5" x14ac:dyDescent="0.3">
      <c r="A30" s="1">
        <v>0.03</v>
      </c>
      <c r="B30" s="1">
        <f t="shared" si="0"/>
        <v>32</v>
      </c>
      <c r="C30" s="1" t="s">
        <v>62</v>
      </c>
      <c r="D30" s="1" t="str">
        <f t="shared" si="1"/>
        <v/>
      </c>
      <c r="E30" s="1"/>
      <c r="F30" s="1">
        <f t="shared" si="3"/>
        <v>224</v>
      </c>
      <c r="G30" s="1" t="s">
        <v>62</v>
      </c>
      <c r="H30" s="1" t="str">
        <f t="shared" si="2"/>
        <v/>
      </c>
      <c r="I30" s="1"/>
      <c r="J30" s="1">
        <f t="shared" si="4"/>
        <v>416</v>
      </c>
      <c r="K30" s="1" t="s">
        <v>62</v>
      </c>
    </row>
    <row r="31" spans="1:11" ht="16.5" x14ac:dyDescent="0.3">
      <c r="A31" s="1">
        <v>0.03</v>
      </c>
      <c r="B31" s="1">
        <f t="shared" si="0"/>
        <v>32</v>
      </c>
      <c r="C31" s="1" t="s">
        <v>62</v>
      </c>
      <c r="D31" s="1" t="str">
        <f t="shared" si="1"/>
        <v/>
      </c>
      <c r="E31" s="1"/>
      <c r="F31" s="1">
        <f t="shared" si="3"/>
        <v>224</v>
      </c>
      <c r="G31" s="1" t="s">
        <v>62</v>
      </c>
      <c r="H31" s="1" t="str">
        <f t="shared" si="2"/>
        <v/>
      </c>
      <c r="I31" s="1"/>
      <c r="J31" s="1">
        <f t="shared" si="4"/>
        <v>416</v>
      </c>
      <c r="K31" s="1" t="s">
        <v>62</v>
      </c>
    </row>
    <row r="32" spans="1:11" ht="16.5" x14ac:dyDescent="0.3">
      <c r="A32" s="1">
        <v>0.03</v>
      </c>
      <c r="B32" s="1">
        <f t="shared" si="0"/>
        <v>32</v>
      </c>
      <c r="C32" s="1" t="s">
        <v>62</v>
      </c>
      <c r="D32" s="1" t="str">
        <f t="shared" si="1"/>
        <v/>
      </c>
      <c r="E32" s="1"/>
      <c r="F32" s="1">
        <f t="shared" si="3"/>
        <v>224</v>
      </c>
      <c r="G32" s="1" t="s">
        <v>62</v>
      </c>
      <c r="H32" s="1" t="str">
        <f t="shared" si="2"/>
        <v/>
      </c>
      <c r="I32" s="1"/>
      <c r="J32" s="1">
        <f t="shared" si="4"/>
        <v>416</v>
      </c>
      <c r="K32" s="1" t="s">
        <v>62</v>
      </c>
    </row>
    <row r="33" spans="1:11" ht="16.5" x14ac:dyDescent="0.3">
      <c r="A33" s="1">
        <v>0.03</v>
      </c>
      <c r="B33" s="1">
        <f t="shared" si="0"/>
        <v>32</v>
      </c>
      <c r="C33" s="1" t="s">
        <v>62</v>
      </c>
      <c r="D33" s="1" t="str">
        <f t="shared" si="1"/>
        <v/>
      </c>
      <c r="E33" s="1"/>
      <c r="F33" s="1">
        <f t="shared" si="3"/>
        <v>224</v>
      </c>
      <c r="G33" s="1" t="s">
        <v>62</v>
      </c>
      <c r="H33" s="1" t="str">
        <f t="shared" si="2"/>
        <v/>
      </c>
      <c r="I33" s="1"/>
      <c r="J33" s="1">
        <f t="shared" si="4"/>
        <v>416</v>
      </c>
      <c r="K33" s="1" t="s">
        <v>62</v>
      </c>
    </row>
    <row r="34" spans="1:11" ht="16.5" x14ac:dyDescent="0.3">
      <c r="A34" s="1">
        <v>0.03</v>
      </c>
      <c r="B34" s="1">
        <f t="shared" si="0"/>
        <v>32</v>
      </c>
      <c r="C34" s="1" t="s">
        <v>62</v>
      </c>
      <c r="D34" s="1" t="str">
        <f t="shared" si="1"/>
        <v/>
      </c>
      <c r="E34" s="1"/>
      <c r="F34" s="1">
        <f t="shared" si="3"/>
        <v>224</v>
      </c>
      <c r="G34" s="1" t="s">
        <v>62</v>
      </c>
      <c r="H34" s="1" t="str">
        <f t="shared" si="2"/>
        <v/>
      </c>
      <c r="I34" s="1"/>
      <c r="J34" s="1">
        <f t="shared" si="4"/>
        <v>416</v>
      </c>
      <c r="K34" s="1" t="s">
        <v>62</v>
      </c>
    </row>
    <row r="35" spans="1:11" ht="16.5" x14ac:dyDescent="0.3">
      <c r="A35" s="1">
        <v>0.03</v>
      </c>
      <c r="B35" s="1">
        <f t="shared" si="0"/>
        <v>32</v>
      </c>
      <c r="C35" s="1" t="s">
        <v>62</v>
      </c>
      <c r="D35" s="1" t="str">
        <f t="shared" si="1"/>
        <v/>
      </c>
      <c r="E35" s="1"/>
      <c r="F35" s="1">
        <f t="shared" si="3"/>
        <v>224</v>
      </c>
      <c r="G35" s="1" t="s">
        <v>62</v>
      </c>
      <c r="H35" s="1" t="str">
        <f t="shared" si="2"/>
        <v/>
      </c>
      <c r="I35" s="1"/>
      <c r="J35" s="1">
        <f t="shared" si="4"/>
        <v>416</v>
      </c>
      <c r="K35" s="1" t="s">
        <v>62</v>
      </c>
    </row>
    <row r="36" spans="1:11" ht="16.5" x14ac:dyDescent="0.3">
      <c r="A36" s="1">
        <v>0.03</v>
      </c>
      <c r="B36" s="1">
        <f t="shared" si="0"/>
        <v>32</v>
      </c>
      <c r="C36" s="1" t="s">
        <v>62</v>
      </c>
      <c r="D36" s="1" t="str">
        <f t="shared" si="1"/>
        <v/>
      </c>
      <c r="E36" s="1"/>
      <c r="F36" s="1">
        <f t="shared" si="3"/>
        <v>224</v>
      </c>
      <c r="G36" s="1" t="s">
        <v>62</v>
      </c>
      <c r="H36" s="1" t="str">
        <f t="shared" si="2"/>
        <v/>
      </c>
      <c r="I36" s="1"/>
      <c r="J36" s="1">
        <f t="shared" si="4"/>
        <v>416</v>
      </c>
      <c r="K36" s="1" t="s">
        <v>62</v>
      </c>
    </row>
    <row r="37" spans="1:11" ht="16.5" x14ac:dyDescent="0.3">
      <c r="A37" s="1">
        <v>0.03</v>
      </c>
      <c r="B37" s="1">
        <f t="shared" si="0"/>
        <v>32</v>
      </c>
      <c r="C37" s="1" t="s">
        <v>62</v>
      </c>
      <c r="D37" s="1" t="str">
        <f t="shared" si="1"/>
        <v/>
      </c>
      <c r="E37" s="1"/>
      <c r="F37" s="1">
        <f t="shared" si="3"/>
        <v>224</v>
      </c>
      <c r="G37" s="1" t="s">
        <v>62</v>
      </c>
      <c r="H37" s="1" t="str">
        <f t="shared" si="2"/>
        <v/>
      </c>
      <c r="I37" s="1"/>
      <c r="J37" s="1">
        <f t="shared" si="4"/>
        <v>416</v>
      </c>
      <c r="K37" s="1" t="s">
        <v>62</v>
      </c>
    </row>
    <row r="38" spans="1:11" ht="16.5" x14ac:dyDescent="0.3">
      <c r="A38" s="1">
        <v>0.03</v>
      </c>
      <c r="B38" s="1">
        <f t="shared" si="0"/>
        <v>32</v>
      </c>
      <c r="C38" s="1" t="s">
        <v>62</v>
      </c>
      <c r="D38" s="1" t="str">
        <f t="shared" si="1"/>
        <v/>
      </c>
      <c r="E38" s="1"/>
      <c r="F38" s="1">
        <f t="shared" si="3"/>
        <v>224</v>
      </c>
      <c r="G38" s="1" t="s">
        <v>62</v>
      </c>
      <c r="H38" s="1" t="str">
        <f t="shared" si="2"/>
        <v/>
      </c>
      <c r="I38" s="1"/>
      <c r="J38" s="1">
        <f t="shared" si="4"/>
        <v>416</v>
      </c>
      <c r="K38" s="1" t="s">
        <v>62</v>
      </c>
    </row>
    <row r="39" spans="1:11" ht="16.5" x14ac:dyDescent="0.3">
      <c r="A39" s="1">
        <v>0.03</v>
      </c>
      <c r="B39" s="1">
        <f t="shared" si="0"/>
        <v>32</v>
      </c>
      <c r="C39" s="1" t="s">
        <v>62</v>
      </c>
      <c r="D39" s="1" t="str">
        <f t="shared" si="1"/>
        <v/>
      </c>
      <c r="E39" s="1"/>
      <c r="F39" s="1">
        <f t="shared" si="3"/>
        <v>224</v>
      </c>
      <c r="G39" s="1" t="s">
        <v>62</v>
      </c>
      <c r="H39" s="1" t="str">
        <f t="shared" si="2"/>
        <v/>
      </c>
      <c r="I39" s="1"/>
      <c r="J39" s="1">
        <f t="shared" si="4"/>
        <v>416</v>
      </c>
      <c r="K39" s="1" t="s">
        <v>62</v>
      </c>
    </row>
    <row r="40" spans="1:11" ht="16.5" x14ac:dyDescent="0.3">
      <c r="A40" s="1">
        <v>0.03</v>
      </c>
      <c r="B40" s="1">
        <f t="shared" si="0"/>
        <v>32</v>
      </c>
      <c r="C40" s="1" t="s">
        <v>62</v>
      </c>
      <c r="D40" s="1" t="str">
        <f t="shared" si="1"/>
        <v/>
      </c>
      <c r="E40" s="1"/>
      <c r="F40" s="1">
        <f t="shared" si="3"/>
        <v>224</v>
      </c>
      <c r="G40" s="1" t="s">
        <v>62</v>
      </c>
      <c r="H40" s="1" t="str">
        <f t="shared" si="2"/>
        <v/>
      </c>
      <c r="I40" s="1"/>
      <c r="J40" s="1">
        <f t="shared" si="4"/>
        <v>416</v>
      </c>
      <c r="K40" s="1" t="s">
        <v>62</v>
      </c>
    </row>
    <row r="41" spans="1:11" ht="16.5" x14ac:dyDescent="0.3">
      <c r="A41" s="1">
        <v>0.03</v>
      </c>
      <c r="B41" s="1">
        <f t="shared" si="0"/>
        <v>32</v>
      </c>
      <c r="C41" s="1" t="s">
        <v>62</v>
      </c>
      <c r="D41" s="1" t="str">
        <f t="shared" si="1"/>
        <v/>
      </c>
      <c r="E41" s="1"/>
      <c r="F41" s="1">
        <f t="shared" si="3"/>
        <v>224</v>
      </c>
      <c r="G41" s="1" t="s">
        <v>62</v>
      </c>
      <c r="H41" s="1" t="str">
        <f t="shared" si="2"/>
        <v/>
      </c>
      <c r="I41" s="1"/>
      <c r="J41" s="1">
        <f t="shared" si="4"/>
        <v>416</v>
      </c>
      <c r="K41" s="1" t="s">
        <v>62</v>
      </c>
    </row>
    <row r="42" spans="1:11" ht="16.5" x14ac:dyDescent="0.3">
      <c r="A42" s="1">
        <v>0.03</v>
      </c>
      <c r="B42" s="1">
        <f t="shared" si="0"/>
        <v>32</v>
      </c>
      <c r="C42" s="1" t="s">
        <v>62</v>
      </c>
      <c r="D42" s="1" t="str">
        <f t="shared" si="1"/>
        <v/>
      </c>
      <c r="E42" s="1"/>
      <c r="F42" s="1">
        <f t="shared" si="3"/>
        <v>224</v>
      </c>
      <c r="G42" s="1" t="s">
        <v>62</v>
      </c>
      <c r="H42" s="1" t="str">
        <f t="shared" si="2"/>
        <v/>
      </c>
      <c r="I42" s="1"/>
      <c r="J42" s="1">
        <f t="shared" si="4"/>
        <v>416</v>
      </c>
      <c r="K42" s="1" t="s">
        <v>62</v>
      </c>
    </row>
    <row r="43" spans="1:11" ht="16.5" x14ac:dyDescent="0.3">
      <c r="A43" s="1">
        <v>0.03</v>
      </c>
      <c r="B43" s="1">
        <f t="shared" si="0"/>
        <v>32</v>
      </c>
      <c r="C43" s="1" t="s">
        <v>62</v>
      </c>
      <c r="D43" s="1" t="str">
        <f t="shared" si="1"/>
        <v/>
      </c>
      <c r="E43" s="1"/>
      <c r="F43" s="1">
        <f t="shared" si="3"/>
        <v>224</v>
      </c>
      <c r="G43" s="1" t="s">
        <v>62</v>
      </c>
      <c r="H43" s="1" t="str">
        <f t="shared" si="2"/>
        <v/>
      </c>
      <c r="I43" s="1"/>
      <c r="J43" s="1">
        <f t="shared" si="4"/>
        <v>416</v>
      </c>
      <c r="K43" s="1" t="s">
        <v>62</v>
      </c>
    </row>
    <row r="44" spans="1:11" ht="16.5" x14ac:dyDescent="0.3">
      <c r="A44" s="1">
        <v>0.03</v>
      </c>
      <c r="B44" s="1">
        <f t="shared" si="0"/>
        <v>32</v>
      </c>
      <c r="C44" s="1" t="s">
        <v>62</v>
      </c>
      <c r="D44" s="1" t="str">
        <f t="shared" si="1"/>
        <v/>
      </c>
      <c r="E44" s="1"/>
      <c r="F44" s="1">
        <f t="shared" si="3"/>
        <v>224</v>
      </c>
      <c r="G44" s="1" t="s">
        <v>62</v>
      </c>
      <c r="H44" s="1" t="str">
        <f t="shared" si="2"/>
        <v/>
      </c>
      <c r="I44" s="1"/>
      <c r="J44" s="1">
        <f t="shared" si="4"/>
        <v>416</v>
      </c>
      <c r="K44" s="1" t="s">
        <v>62</v>
      </c>
    </row>
    <row r="45" spans="1:11" ht="16.5" x14ac:dyDescent="0.3">
      <c r="A45" s="1">
        <v>0.03</v>
      </c>
      <c r="B45" s="1">
        <f t="shared" si="0"/>
        <v>32</v>
      </c>
      <c r="C45" s="1" t="s">
        <v>62</v>
      </c>
      <c r="D45" s="1" t="str">
        <f t="shared" si="1"/>
        <v/>
      </c>
      <c r="E45" s="1"/>
      <c r="F45" s="1">
        <f t="shared" si="3"/>
        <v>224</v>
      </c>
      <c r="G45" s="1" t="s">
        <v>62</v>
      </c>
      <c r="H45" s="1" t="str">
        <f t="shared" si="2"/>
        <v/>
      </c>
      <c r="I45" s="1"/>
      <c r="J45" s="1">
        <f t="shared" si="4"/>
        <v>416</v>
      </c>
      <c r="K45" s="1" t="s">
        <v>62</v>
      </c>
    </row>
    <row r="46" spans="1:11" ht="16.5" x14ac:dyDescent="0.3">
      <c r="A46" s="1">
        <v>0.03</v>
      </c>
      <c r="B46" s="1">
        <f t="shared" si="0"/>
        <v>32</v>
      </c>
      <c r="C46" s="1" t="s">
        <v>62</v>
      </c>
      <c r="D46" s="1" t="str">
        <f t="shared" si="1"/>
        <v/>
      </c>
      <c r="E46" s="1"/>
      <c r="F46" s="1">
        <f t="shared" si="3"/>
        <v>224</v>
      </c>
      <c r="G46" s="1" t="s">
        <v>62</v>
      </c>
      <c r="H46" s="1" t="str">
        <f t="shared" si="2"/>
        <v/>
      </c>
      <c r="I46" s="1"/>
      <c r="J46" s="1">
        <f t="shared" si="4"/>
        <v>416</v>
      </c>
      <c r="K46" s="1" t="s">
        <v>62</v>
      </c>
    </row>
    <row r="47" spans="1:11" ht="16.5" x14ac:dyDescent="0.3">
      <c r="A47" s="1">
        <v>0.03</v>
      </c>
      <c r="B47" s="1">
        <f t="shared" si="0"/>
        <v>32</v>
      </c>
      <c r="C47" s="1" t="s">
        <v>62</v>
      </c>
      <c r="D47" s="1" t="str">
        <f t="shared" si="1"/>
        <v/>
      </c>
      <c r="E47" s="1"/>
      <c r="F47" s="1">
        <f t="shared" si="3"/>
        <v>224</v>
      </c>
      <c r="G47" s="1" t="s">
        <v>62</v>
      </c>
      <c r="H47" s="1" t="str">
        <f t="shared" si="2"/>
        <v/>
      </c>
      <c r="I47" s="1"/>
      <c r="J47" s="1">
        <f t="shared" si="4"/>
        <v>416</v>
      </c>
      <c r="K47" s="1" t="s">
        <v>62</v>
      </c>
    </row>
    <row r="48" spans="1:11" ht="16.5" x14ac:dyDescent="0.3">
      <c r="A48" s="1">
        <v>1</v>
      </c>
      <c r="B48" s="1" t="s">
        <v>47</v>
      </c>
      <c r="C48" s="1"/>
      <c r="D48" s="1" t="str">
        <f t="shared" si="1"/>
        <v/>
      </c>
      <c r="E48" s="1"/>
      <c r="F48" s="1"/>
      <c r="G48" s="1"/>
      <c r="H48" s="1"/>
      <c r="I48" s="1"/>
      <c r="J48" s="1" t="str">
        <f t="shared" si="4"/>
        <v/>
      </c>
      <c r="K48" s="1"/>
    </row>
    <row r="49" spans="1:11" ht="16.5" x14ac:dyDescent="0.3">
      <c r="A49" s="1">
        <v>0.03</v>
      </c>
      <c r="B49" s="1">
        <f>IF(C49&lt;&gt;"",$N$71,"")</f>
        <v>32</v>
      </c>
      <c r="C49" s="1" t="s">
        <v>67</v>
      </c>
      <c r="D49" s="1">
        <f t="shared" si="1"/>
        <v>128</v>
      </c>
      <c r="E49" s="1" t="s">
        <v>63</v>
      </c>
      <c r="F49" s="1">
        <f>IF(G49&lt;&gt;"",$N$73,"")</f>
        <v>224</v>
      </c>
      <c r="G49" s="1" t="s">
        <v>67</v>
      </c>
      <c r="H49" s="1">
        <f>IF(I49&lt;&gt;"",$N$74,"")</f>
        <v>320</v>
      </c>
      <c r="I49" s="1" t="s">
        <v>63</v>
      </c>
      <c r="J49" s="1">
        <f t="shared" si="4"/>
        <v>416</v>
      </c>
      <c r="K49" s="1" t="s">
        <v>67</v>
      </c>
    </row>
    <row r="50" spans="1:11" ht="16.5" x14ac:dyDescent="0.3">
      <c r="A50" s="1">
        <v>0.03</v>
      </c>
      <c r="B50" s="1" t="str">
        <f>IF(C50&lt;&gt;"",$N$71,"")</f>
        <v/>
      </c>
      <c r="C50" s="1"/>
      <c r="D50" s="1">
        <f t="shared" si="1"/>
        <v>128</v>
      </c>
      <c r="E50" s="1" t="s">
        <v>67</v>
      </c>
      <c r="F50" s="1" t="str">
        <f>IF(G50&lt;&gt;"",$N$73,"")</f>
        <v/>
      </c>
      <c r="G50" s="1"/>
      <c r="H50" s="1">
        <f>IF(I50&lt;&gt;"",$N$74,"")</f>
        <v>320</v>
      </c>
      <c r="I50" s="1" t="s">
        <v>67</v>
      </c>
      <c r="J50" s="1" t="str">
        <f t="shared" si="4"/>
        <v/>
      </c>
      <c r="K50" s="1"/>
    </row>
    <row r="51" spans="1:11" ht="16.5" x14ac:dyDescent="0.3">
      <c r="A51" s="1">
        <v>0.03</v>
      </c>
      <c r="B51" s="1">
        <f>IF(C51&lt;&gt;"",$N$71,"")</f>
        <v>32</v>
      </c>
      <c r="C51" s="1" t="s">
        <v>62</v>
      </c>
      <c r="D51" s="1" t="str">
        <f t="shared" si="1"/>
        <v/>
      </c>
      <c r="E51" s="1"/>
      <c r="F51" s="1">
        <f>IF(G51&lt;&gt;"",$N$73,"")</f>
        <v>224</v>
      </c>
      <c r="G51" s="1" t="s">
        <v>62</v>
      </c>
      <c r="H51" s="1" t="str">
        <f>IF(I51&lt;&gt;"",$N$74,"")</f>
        <v/>
      </c>
      <c r="I51" s="1"/>
      <c r="J51" s="1">
        <f t="shared" si="4"/>
        <v>416</v>
      </c>
      <c r="K51" s="1" t="s">
        <v>62</v>
      </c>
    </row>
    <row r="52" spans="1:11" ht="16.5" x14ac:dyDescent="0.3">
      <c r="A52" s="1">
        <v>0.1</v>
      </c>
      <c r="B52" s="1" t="str">
        <f>IF(C52&lt;&gt;"",$N$71,"")</f>
        <v/>
      </c>
      <c r="C52" s="1"/>
      <c r="D52" s="1">
        <f t="shared" si="1"/>
        <v>128</v>
      </c>
      <c r="E52" s="1" t="s">
        <v>45</v>
      </c>
      <c r="F52" s="1" t="str">
        <f>IF(G52&lt;&gt;"",$N$70,"")</f>
        <v/>
      </c>
      <c r="G52" s="1"/>
      <c r="H52" s="1">
        <f>IF(I52&lt;&gt;"",$N$74,"")</f>
        <v>320</v>
      </c>
      <c r="I52" s="1" t="s">
        <v>45</v>
      </c>
      <c r="J52" s="1" t="str">
        <f>IF(K52&lt;&gt;"",$N$72,"")</f>
        <v/>
      </c>
      <c r="K52" s="1"/>
    </row>
    <row r="53" spans="1:11" ht="16.5" x14ac:dyDescent="0.3">
      <c r="A53" s="1">
        <v>1</v>
      </c>
      <c r="B53" s="1" t="s">
        <v>46</v>
      </c>
      <c r="C53" s="1"/>
      <c r="D53" s="1" t="str">
        <f t="shared" si="1"/>
        <v/>
      </c>
      <c r="E53" s="1"/>
      <c r="F53" s="1"/>
      <c r="G53" s="1"/>
      <c r="H53" s="1"/>
      <c r="I53" s="1"/>
      <c r="J53" s="1" t="str">
        <f t="shared" ref="J53:J65" si="5">IF(K53&lt;&gt;"",$N$75,"")</f>
        <v/>
      </c>
      <c r="K53" s="1"/>
    </row>
    <row r="54" spans="1:11" ht="16.5" x14ac:dyDescent="0.3">
      <c r="A54" s="1">
        <v>0.03</v>
      </c>
      <c r="B54" s="1">
        <f t="shared" ref="B54:B64" si="6">IF(C54&lt;&gt;"",$N$71,"")</f>
        <v>32</v>
      </c>
      <c r="C54" s="1" t="s">
        <v>67</v>
      </c>
      <c r="D54" s="1">
        <f t="shared" si="1"/>
        <v>128</v>
      </c>
      <c r="E54" s="1" t="s">
        <v>63</v>
      </c>
      <c r="F54" s="1">
        <f>IF(G54&lt;&gt;"",$N$73,"")</f>
        <v>224</v>
      </c>
      <c r="G54" s="1" t="s">
        <v>67</v>
      </c>
      <c r="H54" s="1">
        <f t="shared" ref="H54:H64" si="7">IF(I54&lt;&gt;"",$N$74,"")</f>
        <v>320</v>
      </c>
      <c r="I54" s="1" t="s">
        <v>63</v>
      </c>
      <c r="J54" s="1">
        <f t="shared" si="5"/>
        <v>416</v>
      </c>
      <c r="K54" s="1" t="s">
        <v>67</v>
      </c>
    </row>
    <row r="55" spans="1:11" ht="16.5" x14ac:dyDescent="0.3">
      <c r="A55" s="1">
        <v>0.03</v>
      </c>
      <c r="B55" s="1" t="str">
        <f t="shared" si="6"/>
        <v/>
      </c>
      <c r="C55" s="1"/>
      <c r="D55" s="1">
        <f t="shared" si="1"/>
        <v>128</v>
      </c>
      <c r="E55" s="1" t="s">
        <v>67</v>
      </c>
      <c r="F55" s="1" t="str">
        <f>IF(G55&lt;&gt;"",$N$73,"")</f>
        <v/>
      </c>
      <c r="G55" s="1"/>
      <c r="H55" s="1">
        <f t="shared" si="7"/>
        <v>320</v>
      </c>
      <c r="I55" s="1" t="s">
        <v>67</v>
      </c>
      <c r="J55" s="1" t="str">
        <f t="shared" si="5"/>
        <v/>
      </c>
      <c r="K55" s="1"/>
    </row>
    <row r="56" spans="1:11" ht="16.5" x14ac:dyDescent="0.3">
      <c r="A56" s="1">
        <v>0.03</v>
      </c>
      <c r="B56" s="1">
        <f t="shared" si="6"/>
        <v>32</v>
      </c>
      <c r="C56" s="1" t="s">
        <v>62</v>
      </c>
      <c r="D56" s="1" t="str">
        <f t="shared" si="1"/>
        <v/>
      </c>
      <c r="E56" s="1"/>
      <c r="F56" s="1">
        <f>IF(G56&lt;&gt;"",$N$73,"")</f>
        <v>224</v>
      </c>
      <c r="G56" s="1" t="s">
        <v>62</v>
      </c>
      <c r="H56" s="1" t="str">
        <f t="shared" si="7"/>
        <v/>
      </c>
      <c r="I56" s="1"/>
      <c r="J56" s="1">
        <f t="shared" si="5"/>
        <v>416</v>
      </c>
      <c r="K56" s="1" t="s">
        <v>62</v>
      </c>
    </row>
    <row r="57" spans="1:11" ht="16.5" x14ac:dyDescent="0.3">
      <c r="A57" s="1">
        <v>0.1</v>
      </c>
      <c r="B57" s="1" t="str">
        <f t="shared" si="6"/>
        <v/>
      </c>
      <c r="C57" s="1"/>
      <c r="D57" s="1">
        <f t="shared" si="1"/>
        <v>128</v>
      </c>
      <c r="E57" s="1" t="s">
        <v>45</v>
      </c>
      <c r="F57" s="1" t="str">
        <f>IF(G57&lt;&gt;"",$N$70,"")</f>
        <v/>
      </c>
      <c r="G57" s="1"/>
      <c r="H57" s="1">
        <f t="shared" si="7"/>
        <v>320</v>
      </c>
      <c r="I57" s="1" t="s">
        <v>45</v>
      </c>
      <c r="J57" s="1" t="str">
        <f t="shared" si="5"/>
        <v/>
      </c>
      <c r="K57" s="1"/>
    </row>
    <row r="58" spans="1:11" ht="16.5" x14ac:dyDescent="0.3">
      <c r="A58" s="1">
        <v>0.03</v>
      </c>
      <c r="B58" s="1">
        <f t="shared" si="6"/>
        <v>32</v>
      </c>
      <c r="C58" s="1" t="s">
        <v>62</v>
      </c>
      <c r="D58" s="1" t="str">
        <f t="shared" si="1"/>
        <v/>
      </c>
      <c r="E58" s="1"/>
      <c r="F58" s="1">
        <f t="shared" ref="F58:F64" si="8">IF(G58&lt;&gt;"",$N$73,"")</f>
        <v>224</v>
      </c>
      <c r="G58" s="1" t="s">
        <v>62</v>
      </c>
      <c r="H58" s="1" t="str">
        <f t="shared" si="7"/>
        <v/>
      </c>
      <c r="I58" s="1"/>
      <c r="J58" s="1">
        <f t="shared" si="5"/>
        <v>416</v>
      </c>
      <c r="K58" s="1" t="s">
        <v>62</v>
      </c>
    </row>
    <row r="59" spans="1:11" ht="16.5" x14ac:dyDescent="0.3">
      <c r="A59" s="1">
        <v>0.03</v>
      </c>
      <c r="B59" s="1">
        <f t="shared" si="6"/>
        <v>32</v>
      </c>
      <c r="C59" s="1" t="s">
        <v>62</v>
      </c>
      <c r="D59" s="1" t="str">
        <f t="shared" si="1"/>
        <v/>
      </c>
      <c r="E59" s="1"/>
      <c r="F59" s="1">
        <f t="shared" si="8"/>
        <v>224</v>
      </c>
      <c r="G59" s="1" t="s">
        <v>62</v>
      </c>
      <c r="H59" s="1" t="str">
        <f t="shared" si="7"/>
        <v/>
      </c>
      <c r="I59" s="1"/>
      <c r="J59" s="1">
        <f t="shared" si="5"/>
        <v>416</v>
      </c>
      <c r="K59" s="1" t="s">
        <v>62</v>
      </c>
    </row>
    <row r="60" spans="1:11" ht="16.5" x14ac:dyDescent="0.3">
      <c r="A60" s="1">
        <v>0.03</v>
      </c>
      <c r="B60" s="1">
        <f t="shared" si="6"/>
        <v>32</v>
      </c>
      <c r="C60" s="1" t="s">
        <v>62</v>
      </c>
      <c r="D60" s="1" t="str">
        <f t="shared" si="1"/>
        <v/>
      </c>
      <c r="E60" s="1"/>
      <c r="F60" s="1">
        <f t="shared" si="8"/>
        <v>224</v>
      </c>
      <c r="G60" s="1" t="s">
        <v>62</v>
      </c>
      <c r="H60" s="1" t="str">
        <f t="shared" si="7"/>
        <v/>
      </c>
      <c r="I60" s="1"/>
      <c r="J60" s="1">
        <f t="shared" si="5"/>
        <v>416</v>
      </c>
      <c r="K60" s="1" t="s">
        <v>62</v>
      </c>
    </row>
    <row r="61" spans="1:11" ht="16.5" x14ac:dyDescent="0.3">
      <c r="A61" s="1">
        <v>0.03</v>
      </c>
      <c r="B61" s="1">
        <f t="shared" si="6"/>
        <v>32</v>
      </c>
      <c r="C61" s="1" t="s">
        <v>62</v>
      </c>
      <c r="D61" s="1" t="str">
        <f t="shared" si="1"/>
        <v/>
      </c>
      <c r="E61" s="1"/>
      <c r="F61" s="1">
        <f t="shared" si="8"/>
        <v>224</v>
      </c>
      <c r="G61" s="1" t="s">
        <v>62</v>
      </c>
      <c r="H61" s="1" t="str">
        <f t="shared" si="7"/>
        <v/>
      </c>
      <c r="I61" s="1"/>
      <c r="J61" s="1">
        <f t="shared" si="5"/>
        <v>416</v>
      </c>
      <c r="K61" s="1" t="s">
        <v>62</v>
      </c>
    </row>
    <row r="62" spans="1:11" ht="16.5" x14ac:dyDescent="0.3">
      <c r="A62" s="1">
        <v>0.03</v>
      </c>
      <c r="B62" s="1">
        <f t="shared" si="6"/>
        <v>32</v>
      </c>
      <c r="C62" s="1" t="s">
        <v>62</v>
      </c>
      <c r="D62" s="1" t="str">
        <f t="shared" si="1"/>
        <v/>
      </c>
      <c r="E62" s="1"/>
      <c r="F62" s="1">
        <f t="shared" si="8"/>
        <v>224</v>
      </c>
      <c r="G62" s="1" t="s">
        <v>62</v>
      </c>
      <c r="H62" s="1" t="str">
        <f t="shared" si="7"/>
        <v/>
      </c>
      <c r="I62" s="1"/>
      <c r="J62" s="1">
        <f t="shared" si="5"/>
        <v>416</v>
      </c>
      <c r="K62" s="1" t="s">
        <v>62</v>
      </c>
    </row>
    <row r="63" spans="1:11" ht="16.5" x14ac:dyDescent="0.3">
      <c r="A63" s="1">
        <v>0.03</v>
      </c>
      <c r="B63" s="1">
        <f t="shared" si="6"/>
        <v>32</v>
      </c>
      <c r="C63" s="1" t="s">
        <v>62</v>
      </c>
      <c r="D63" s="1" t="str">
        <f t="shared" si="1"/>
        <v/>
      </c>
      <c r="E63" s="1"/>
      <c r="F63" s="1">
        <f t="shared" si="8"/>
        <v>224</v>
      </c>
      <c r="G63" s="1" t="s">
        <v>62</v>
      </c>
      <c r="H63" s="1" t="str">
        <f t="shared" si="7"/>
        <v/>
      </c>
      <c r="I63" s="1"/>
      <c r="J63" s="1">
        <f t="shared" si="5"/>
        <v>416</v>
      </c>
      <c r="K63" s="1" t="s">
        <v>62</v>
      </c>
    </row>
    <row r="64" spans="1:11" ht="16.5" x14ac:dyDescent="0.3">
      <c r="A64" s="1">
        <v>0.03</v>
      </c>
      <c r="B64" s="1">
        <f t="shared" si="6"/>
        <v>32</v>
      </c>
      <c r="C64" s="1" t="s">
        <v>62</v>
      </c>
      <c r="D64" s="1" t="str">
        <f t="shared" si="1"/>
        <v/>
      </c>
      <c r="E64" s="1"/>
      <c r="F64" s="1">
        <f t="shared" si="8"/>
        <v>224</v>
      </c>
      <c r="G64" s="1" t="s">
        <v>62</v>
      </c>
      <c r="H64" s="1" t="str">
        <f t="shared" si="7"/>
        <v/>
      </c>
      <c r="I64" s="1"/>
      <c r="J64" s="1">
        <f t="shared" si="5"/>
        <v>416</v>
      </c>
      <c r="K64" s="1" t="s">
        <v>62</v>
      </c>
    </row>
    <row r="65" spans="1:15" ht="16.5" x14ac:dyDescent="0.3">
      <c r="A65" s="1">
        <v>6</v>
      </c>
      <c r="B65" s="1" t="s">
        <v>42</v>
      </c>
      <c r="C65" s="1"/>
      <c r="D65" s="1" t="str">
        <f t="shared" si="1"/>
        <v/>
      </c>
      <c r="E65" s="1"/>
      <c r="F65" s="1"/>
      <c r="G65" s="1"/>
      <c r="H65" s="1"/>
      <c r="I65" s="1"/>
      <c r="J65" s="1" t="str">
        <f t="shared" si="5"/>
        <v/>
      </c>
      <c r="K65" s="1"/>
    </row>
    <row r="66" spans="1:15" ht="16.5" x14ac:dyDescent="0.3">
      <c r="A66" s="1">
        <v>0</v>
      </c>
      <c r="B66" s="1" t="s">
        <v>57</v>
      </c>
      <c r="C66" s="1"/>
      <c r="D66" s="1"/>
      <c r="E66" s="1"/>
      <c r="F66" s="1"/>
      <c r="G66" s="1"/>
      <c r="H66" s="1"/>
      <c r="I66" s="1"/>
      <c r="J66" s="1"/>
      <c r="K66" s="1"/>
    </row>
    <row r="67" spans="1:15" ht="16.5" x14ac:dyDescent="0.3">
      <c r="A67" s="1">
        <v>0</v>
      </c>
      <c r="B67" s="1" t="s">
        <v>53</v>
      </c>
      <c r="C67" s="1"/>
      <c r="D67" s="1" t="str">
        <f>IF(E67&lt;&gt;"",$N$72,"")</f>
        <v/>
      </c>
      <c r="E67" s="1"/>
      <c r="F67" s="1" t="str">
        <f>IF(G67&lt;&gt;"",$N$73,"")</f>
        <v/>
      </c>
      <c r="G67" s="1"/>
      <c r="H67" s="1" t="str">
        <f>IF(I67&lt;&gt;"",$N$74,"")</f>
        <v/>
      </c>
      <c r="I67" s="1"/>
      <c r="J67" s="1" t="str">
        <f>IF(K67&lt;&gt;"",$N$75,"")</f>
        <v/>
      </c>
      <c r="K67" s="1"/>
    </row>
    <row r="68" spans="1:15" ht="16.5" x14ac:dyDescent="0.3">
      <c r="A68" s="1">
        <v>5</v>
      </c>
      <c r="B68" s="1" t="s">
        <v>56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ht="16.5" x14ac:dyDescent="0.3">
      <c r="A69" s="1">
        <v>0.5</v>
      </c>
      <c r="B69" s="1" t="str">
        <f t="shared" ref="B69:B94" si="9">IF(C69&lt;&gt;"",$N$71,"")</f>
        <v/>
      </c>
      <c r="C69" s="1"/>
      <c r="D69" s="1" t="str">
        <f t="shared" ref="D69:D96" si="10">IF(E69&lt;&gt;"",$N$72,"")</f>
        <v/>
      </c>
      <c r="E69" s="1"/>
      <c r="F69" s="1" t="str">
        <f t="shared" ref="F69:F95" si="11">IF(G69&lt;&gt;"",$N$73,"")</f>
        <v/>
      </c>
      <c r="G69" s="1"/>
      <c r="H69" s="1">
        <f t="shared" ref="H69:H95" si="12">IF(I69&lt;&gt;"",$N$74,"")</f>
        <v>320</v>
      </c>
      <c r="I69" s="1" t="s">
        <v>63</v>
      </c>
      <c r="J69" s="1">
        <f t="shared" ref="J69:J96" si="13">IF(K69&lt;&gt;"",$N$75,"")</f>
        <v>416</v>
      </c>
      <c r="K69" s="1" t="s">
        <v>63</v>
      </c>
    </row>
    <row r="70" spans="1:15" ht="16.5" x14ac:dyDescent="0.3">
      <c r="A70" s="1">
        <v>0.5</v>
      </c>
      <c r="B70" s="1">
        <f t="shared" si="9"/>
        <v>32</v>
      </c>
      <c r="C70" s="1" t="s">
        <v>63</v>
      </c>
      <c r="D70" s="1">
        <f t="shared" si="10"/>
        <v>128</v>
      </c>
      <c r="E70" s="1" t="s">
        <v>63</v>
      </c>
      <c r="F70" s="1" t="str">
        <f t="shared" si="11"/>
        <v/>
      </c>
      <c r="G70" s="1"/>
      <c r="H70" s="1" t="str">
        <f t="shared" si="12"/>
        <v/>
      </c>
      <c r="I70" s="1"/>
      <c r="J70" s="1" t="str">
        <f t="shared" si="13"/>
        <v/>
      </c>
      <c r="K70" s="1"/>
    </row>
    <row r="71" spans="1:15" ht="16.5" x14ac:dyDescent="0.3">
      <c r="A71" s="1">
        <v>0.5</v>
      </c>
      <c r="B71" s="1">
        <f t="shared" si="9"/>
        <v>32</v>
      </c>
      <c r="C71" s="1" t="s">
        <v>64</v>
      </c>
      <c r="D71" s="1" t="str">
        <f t="shared" si="10"/>
        <v/>
      </c>
      <c r="E71" s="1"/>
      <c r="F71" s="1">
        <f t="shared" si="11"/>
        <v>224</v>
      </c>
      <c r="G71" s="1" t="s">
        <v>64</v>
      </c>
      <c r="H71" s="1" t="str">
        <f t="shared" si="12"/>
        <v/>
      </c>
      <c r="I71" s="1"/>
      <c r="J71" s="1">
        <f t="shared" si="13"/>
        <v>416</v>
      </c>
      <c r="K71" s="1" t="s">
        <v>64</v>
      </c>
      <c r="M71" s="1" t="s">
        <v>17</v>
      </c>
      <c r="N71" s="1">
        <v>32</v>
      </c>
    </row>
    <row r="72" spans="1:15" ht="16.5" x14ac:dyDescent="0.3">
      <c r="A72" s="1">
        <v>0.5</v>
      </c>
      <c r="B72" s="1" t="str">
        <f t="shared" si="9"/>
        <v/>
      </c>
      <c r="C72" s="1"/>
      <c r="D72" s="1" t="str">
        <f t="shared" si="10"/>
        <v/>
      </c>
      <c r="E72" s="1"/>
      <c r="F72" s="1">
        <f t="shared" si="11"/>
        <v>224</v>
      </c>
      <c r="G72" s="1" t="s">
        <v>65</v>
      </c>
      <c r="H72" s="1">
        <f t="shared" si="12"/>
        <v>320</v>
      </c>
      <c r="I72" s="1" t="s">
        <v>63</v>
      </c>
      <c r="J72" s="1">
        <f t="shared" si="13"/>
        <v>416</v>
      </c>
      <c r="K72" s="1" t="s">
        <v>65</v>
      </c>
      <c r="M72" s="1" t="s">
        <v>18</v>
      </c>
      <c r="N72" s="1">
        <f>N71+96</f>
        <v>128</v>
      </c>
    </row>
    <row r="73" spans="1:15" ht="16.5" x14ac:dyDescent="0.3">
      <c r="A73" s="1">
        <v>0.5</v>
      </c>
      <c r="B73" s="1">
        <f t="shared" si="9"/>
        <v>32</v>
      </c>
      <c r="C73" s="1" t="s">
        <v>65</v>
      </c>
      <c r="D73" s="1">
        <f t="shared" si="10"/>
        <v>128</v>
      </c>
      <c r="E73" s="1" t="s">
        <v>63</v>
      </c>
      <c r="F73" s="1">
        <f t="shared" si="11"/>
        <v>224</v>
      </c>
      <c r="G73" s="1" t="s">
        <v>65</v>
      </c>
      <c r="H73" s="1" t="str">
        <f t="shared" si="12"/>
        <v/>
      </c>
      <c r="I73" s="1"/>
      <c r="J73" s="1" t="str">
        <f t="shared" si="13"/>
        <v/>
      </c>
      <c r="K73" s="1"/>
      <c r="M73" s="1" t="s">
        <v>19</v>
      </c>
      <c r="N73" s="1">
        <f t="shared" ref="N73:N75" si="14">N72+96</f>
        <v>224</v>
      </c>
    </row>
    <row r="74" spans="1:15" ht="16.5" x14ac:dyDescent="0.3">
      <c r="A74" s="1">
        <v>0.5</v>
      </c>
      <c r="B74" s="1" t="str">
        <f t="shared" si="9"/>
        <v/>
      </c>
      <c r="C74" s="1"/>
      <c r="D74" s="1">
        <f t="shared" si="10"/>
        <v>128</v>
      </c>
      <c r="E74" s="1" t="s">
        <v>65</v>
      </c>
      <c r="F74" s="1">
        <f t="shared" si="11"/>
        <v>224</v>
      </c>
      <c r="G74" s="1" t="s">
        <v>63</v>
      </c>
      <c r="H74" s="1">
        <f t="shared" si="12"/>
        <v>320</v>
      </c>
      <c r="I74" s="1" t="s">
        <v>65</v>
      </c>
      <c r="J74" s="1" t="str">
        <f t="shared" si="13"/>
        <v/>
      </c>
      <c r="K74" s="1"/>
      <c r="M74" s="1" t="s">
        <v>20</v>
      </c>
      <c r="N74" s="1">
        <f t="shared" si="14"/>
        <v>320</v>
      </c>
    </row>
    <row r="75" spans="1:15" ht="16.5" x14ac:dyDescent="0.3">
      <c r="A75" s="1">
        <v>0.5</v>
      </c>
      <c r="B75" s="1" t="str">
        <f t="shared" si="9"/>
        <v/>
      </c>
      <c r="C75" s="1"/>
      <c r="D75" s="1">
        <f t="shared" si="10"/>
        <v>128</v>
      </c>
      <c r="E75" s="1" t="s">
        <v>63</v>
      </c>
      <c r="F75" s="1">
        <f t="shared" si="11"/>
        <v>224</v>
      </c>
      <c r="G75" s="1" t="s">
        <v>66</v>
      </c>
      <c r="H75" s="1">
        <f t="shared" si="12"/>
        <v>320</v>
      </c>
      <c r="I75" s="1" t="s">
        <v>63</v>
      </c>
      <c r="J75" s="1" t="str">
        <f t="shared" si="13"/>
        <v/>
      </c>
      <c r="K75" s="1"/>
      <c r="M75" s="1" t="s">
        <v>21</v>
      </c>
      <c r="N75" s="1">
        <f t="shared" si="14"/>
        <v>416</v>
      </c>
    </row>
    <row r="76" spans="1:15" ht="16.5" x14ac:dyDescent="0.3">
      <c r="A76" s="1">
        <v>0.5</v>
      </c>
      <c r="B76" s="1" t="str">
        <f t="shared" si="9"/>
        <v/>
      </c>
      <c r="C76" s="1"/>
      <c r="D76" s="1" t="str">
        <f t="shared" si="10"/>
        <v/>
      </c>
      <c r="E76" s="1"/>
      <c r="F76" s="1" t="str">
        <f t="shared" si="11"/>
        <v/>
      </c>
      <c r="G76" s="1"/>
      <c r="H76" s="1">
        <f t="shared" si="12"/>
        <v>320</v>
      </c>
      <c r="I76" s="1" t="s">
        <v>62</v>
      </c>
      <c r="J76" s="1">
        <f t="shared" si="13"/>
        <v>416</v>
      </c>
      <c r="K76" s="1" t="s">
        <v>65</v>
      </c>
    </row>
    <row r="77" spans="1:15" ht="16.5" x14ac:dyDescent="0.3">
      <c r="A77" s="1">
        <v>0.5</v>
      </c>
      <c r="B77" s="1">
        <f t="shared" si="9"/>
        <v>32</v>
      </c>
      <c r="C77" s="1" t="s">
        <v>65</v>
      </c>
      <c r="D77" s="1">
        <f t="shared" si="10"/>
        <v>128</v>
      </c>
      <c r="E77" s="1" t="s">
        <v>62</v>
      </c>
      <c r="F77" s="1" t="str">
        <f t="shared" si="11"/>
        <v/>
      </c>
      <c r="G77" s="1"/>
      <c r="H77" s="1" t="str">
        <f t="shared" si="12"/>
        <v/>
      </c>
      <c r="I77" s="1"/>
      <c r="J77" s="1" t="str">
        <f t="shared" si="13"/>
        <v/>
      </c>
      <c r="K77" s="1"/>
    </row>
    <row r="78" spans="1:15" x14ac:dyDescent="0.4">
      <c r="A78" s="1">
        <v>0.5</v>
      </c>
      <c r="B78" s="1">
        <f t="shared" si="9"/>
        <v>32</v>
      </c>
      <c r="C78" s="1" t="s">
        <v>62</v>
      </c>
      <c r="D78" s="1" t="str">
        <f t="shared" si="10"/>
        <v/>
      </c>
      <c r="E78" s="1"/>
      <c r="F78" s="1">
        <f t="shared" si="11"/>
        <v>224</v>
      </c>
      <c r="G78" s="1" t="s">
        <v>62</v>
      </c>
      <c r="H78" s="1" t="str">
        <f t="shared" si="12"/>
        <v/>
      </c>
      <c r="I78" s="1"/>
      <c r="J78" s="1">
        <f t="shared" si="13"/>
        <v>416</v>
      </c>
      <c r="K78" s="1" t="s">
        <v>62</v>
      </c>
      <c r="M78" t="s">
        <v>41</v>
      </c>
      <c r="N78" t="s">
        <v>26</v>
      </c>
      <c r="O78" t="s">
        <v>22</v>
      </c>
    </row>
    <row r="79" spans="1:15" x14ac:dyDescent="0.4">
      <c r="A79" s="1">
        <v>0.5</v>
      </c>
      <c r="B79" s="1" t="str">
        <f t="shared" si="9"/>
        <v/>
      </c>
      <c r="C79" s="1"/>
      <c r="D79" s="1">
        <f t="shared" si="10"/>
        <v>128</v>
      </c>
      <c r="E79" s="1" t="s">
        <v>62</v>
      </c>
      <c r="F79" s="1" t="str">
        <f t="shared" si="11"/>
        <v/>
      </c>
      <c r="G79" s="1"/>
      <c r="H79" s="1">
        <f t="shared" si="12"/>
        <v>320</v>
      </c>
      <c r="I79" s="1" t="s">
        <v>62</v>
      </c>
      <c r="J79" s="1" t="str">
        <f t="shared" si="13"/>
        <v/>
      </c>
      <c r="K79" s="1"/>
      <c r="N79" t="s">
        <v>27</v>
      </c>
      <c r="O79" t="s">
        <v>23</v>
      </c>
    </row>
    <row r="80" spans="1:15" ht="16.5" x14ac:dyDescent="0.3">
      <c r="A80" s="1">
        <v>0.5</v>
      </c>
      <c r="B80" s="1" t="str">
        <f t="shared" si="9"/>
        <v/>
      </c>
      <c r="C80" s="1"/>
      <c r="D80" s="1">
        <f t="shared" si="10"/>
        <v>128</v>
      </c>
      <c r="E80" s="1" t="s">
        <v>63</v>
      </c>
      <c r="F80" s="1">
        <f t="shared" si="11"/>
        <v>224</v>
      </c>
      <c r="G80" s="1" t="s">
        <v>66</v>
      </c>
      <c r="H80" s="1">
        <f t="shared" si="12"/>
        <v>320</v>
      </c>
      <c r="I80" s="1" t="s">
        <v>63</v>
      </c>
      <c r="J80" s="1" t="str">
        <f t="shared" si="13"/>
        <v/>
      </c>
      <c r="K80" s="1"/>
    </row>
    <row r="81" spans="1:15" x14ac:dyDescent="0.4">
      <c r="A81" s="1">
        <v>0.5</v>
      </c>
      <c r="B81" s="1">
        <f t="shared" si="9"/>
        <v>32</v>
      </c>
      <c r="C81" s="1" t="s">
        <v>63</v>
      </c>
      <c r="D81" s="1" t="str">
        <f t="shared" si="10"/>
        <v/>
      </c>
      <c r="E81" s="1"/>
      <c r="F81" s="1" t="str">
        <f t="shared" si="11"/>
        <v/>
      </c>
      <c r="G81" s="1"/>
      <c r="H81" s="1" t="str">
        <f t="shared" si="12"/>
        <v/>
      </c>
      <c r="I81" s="1"/>
      <c r="J81" s="1">
        <f t="shared" si="13"/>
        <v>416</v>
      </c>
      <c r="K81" s="1" t="s">
        <v>63</v>
      </c>
      <c r="N81" t="s">
        <v>28</v>
      </c>
      <c r="O81" t="s">
        <v>24</v>
      </c>
    </row>
    <row r="82" spans="1:15" x14ac:dyDescent="0.4">
      <c r="A82" s="1">
        <v>0.5</v>
      </c>
      <c r="B82" s="1" t="str">
        <f t="shared" si="9"/>
        <v/>
      </c>
      <c r="C82" s="1"/>
      <c r="D82" s="1" t="str">
        <f t="shared" si="10"/>
        <v/>
      </c>
      <c r="E82" s="1"/>
      <c r="F82" s="1">
        <f t="shared" si="11"/>
        <v>224</v>
      </c>
      <c r="G82" s="1" t="s">
        <v>66</v>
      </c>
      <c r="H82" s="1" t="str">
        <f t="shared" si="12"/>
        <v/>
      </c>
      <c r="I82" s="1"/>
      <c r="J82" s="1" t="str">
        <f t="shared" si="13"/>
        <v/>
      </c>
      <c r="K82" s="1"/>
      <c r="N82" t="s">
        <v>29</v>
      </c>
      <c r="O82" t="s">
        <v>25</v>
      </c>
    </row>
    <row r="83" spans="1:15" x14ac:dyDescent="0.4">
      <c r="A83" s="1">
        <v>0.5</v>
      </c>
      <c r="B83" s="1">
        <f t="shared" si="9"/>
        <v>32</v>
      </c>
      <c r="C83" s="1" t="s">
        <v>70</v>
      </c>
      <c r="D83" s="1" t="str">
        <f t="shared" si="10"/>
        <v/>
      </c>
      <c r="E83" s="1"/>
      <c r="F83" s="1" t="str">
        <f t="shared" si="11"/>
        <v/>
      </c>
      <c r="G83" s="1"/>
      <c r="H83" s="1" t="str">
        <f t="shared" si="12"/>
        <v/>
      </c>
      <c r="I83" s="1"/>
      <c r="J83" s="1" t="str">
        <f t="shared" si="13"/>
        <v/>
      </c>
      <c r="K83" s="1"/>
      <c r="N83" t="s">
        <v>30</v>
      </c>
      <c r="O83" t="s">
        <v>40</v>
      </c>
    </row>
    <row r="84" spans="1:15" ht="16.5" x14ac:dyDescent="0.3">
      <c r="A84" s="1">
        <v>0.5</v>
      </c>
      <c r="B84" s="1" t="str">
        <f t="shared" si="9"/>
        <v/>
      </c>
      <c r="C84" s="1"/>
      <c r="D84" s="1" t="str">
        <f t="shared" si="10"/>
        <v/>
      </c>
      <c r="E84" s="1"/>
      <c r="F84" s="1" t="str">
        <f t="shared" si="11"/>
        <v/>
      </c>
      <c r="G84" s="1"/>
      <c r="H84" s="1" t="str">
        <f t="shared" si="12"/>
        <v/>
      </c>
      <c r="I84" s="1"/>
      <c r="J84" s="1">
        <f t="shared" si="13"/>
        <v>416</v>
      </c>
      <c r="K84" s="1" t="s">
        <v>70</v>
      </c>
    </row>
    <row r="85" spans="1:15" ht="16.5" x14ac:dyDescent="0.3">
      <c r="A85" s="1">
        <v>0.5</v>
      </c>
      <c r="B85" s="1" t="str">
        <f t="shared" si="9"/>
        <v/>
      </c>
      <c r="C85" s="1"/>
      <c r="D85" s="1" t="str">
        <f t="shared" si="10"/>
        <v/>
      </c>
      <c r="E85" s="1"/>
      <c r="F85" s="1">
        <f t="shared" si="11"/>
        <v>224</v>
      </c>
      <c r="G85" s="1" t="s">
        <v>70</v>
      </c>
      <c r="H85" s="1" t="str">
        <f t="shared" si="12"/>
        <v/>
      </c>
      <c r="I85" s="1"/>
      <c r="J85" s="1" t="str">
        <f t="shared" si="13"/>
        <v/>
      </c>
      <c r="K85" s="1"/>
    </row>
    <row r="86" spans="1:15" ht="16.5" x14ac:dyDescent="0.3">
      <c r="A86" s="1">
        <v>5</v>
      </c>
      <c r="B86" s="1" t="s">
        <v>60</v>
      </c>
      <c r="C86" s="1"/>
      <c r="D86" s="1"/>
      <c r="E86" s="1"/>
      <c r="F86" s="1"/>
      <c r="G86" s="1"/>
      <c r="H86" s="1"/>
      <c r="I86" s="1"/>
      <c r="J86" s="1" t="str">
        <f>IF(K86&lt;&gt;"",$N$75,"")</f>
        <v/>
      </c>
      <c r="K86" s="1"/>
    </row>
    <row r="87" spans="1:15" x14ac:dyDescent="0.4">
      <c r="A87" s="1">
        <v>0.5</v>
      </c>
      <c r="B87" s="1">
        <f t="shared" si="9"/>
        <v>32</v>
      </c>
      <c r="C87" s="1" t="s">
        <v>62</v>
      </c>
      <c r="D87" s="1" t="str">
        <f t="shared" si="10"/>
        <v/>
      </c>
      <c r="E87" s="1"/>
      <c r="F87" s="1">
        <f t="shared" si="11"/>
        <v>224</v>
      </c>
      <c r="G87" s="1" t="s">
        <v>62</v>
      </c>
      <c r="H87" s="1" t="str">
        <f t="shared" si="12"/>
        <v/>
      </c>
      <c r="I87" s="1"/>
      <c r="J87" s="1">
        <f t="shared" si="13"/>
        <v>416</v>
      </c>
      <c r="K87" s="1" t="s">
        <v>62</v>
      </c>
      <c r="M87" t="s">
        <v>32</v>
      </c>
    </row>
    <row r="88" spans="1:15" ht="16.5" x14ac:dyDescent="0.3">
      <c r="A88" s="3">
        <v>0.5</v>
      </c>
      <c r="B88" s="1" t="str">
        <f t="shared" si="9"/>
        <v/>
      </c>
      <c r="C88" s="1"/>
      <c r="D88" s="1">
        <f t="shared" si="10"/>
        <v>128</v>
      </c>
      <c r="E88" s="1" t="s">
        <v>62</v>
      </c>
      <c r="F88" s="1">
        <f t="shared" si="11"/>
        <v>224</v>
      </c>
      <c r="G88" s="1" t="s">
        <v>62</v>
      </c>
      <c r="H88" s="1">
        <f t="shared" si="12"/>
        <v>320</v>
      </c>
      <c r="I88" s="1" t="s">
        <v>62</v>
      </c>
      <c r="J88" s="1" t="str">
        <f t="shared" si="13"/>
        <v/>
      </c>
      <c r="K88" s="1"/>
    </row>
    <row r="89" spans="1:15" ht="16.5" x14ac:dyDescent="0.3">
      <c r="A89" s="1">
        <v>0.5</v>
      </c>
      <c r="B89" s="1" t="str">
        <f t="shared" si="9"/>
        <v/>
      </c>
      <c r="C89" s="1"/>
      <c r="D89" s="1" t="str">
        <f t="shared" si="10"/>
        <v/>
      </c>
      <c r="E89" s="1"/>
      <c r="F89" s="1">
        <f t="shared" si="11"/>
        <v>224</v>
      </c>
      <c r="G89" s="1" t="s">
        <v>62</v>
      </c>
      <c r="H89" s="1" t="str">
        <f t="shared" si="12"/>
        <v/>
      </c>
      <c r="I89" s="1"/>
      <c r="J89" s="1" t="str">
        <f t="shared" si="13"/>
        <v/>
      </c>
      <c r="K89" s="1"/>
    </row>
    <row r="90" spans="1:15" ht="16.5" x14ac:dyDescent="0.3">
      <c r="A90" s="1">
        <v>0.5</v>
      </c>
      <c r="B90" s="1" t="str">
        <f t="shared" si="9"/>
        <v/>
      </c>
      <c r="C90" s="1"/>
      <c r="D90" s="1" t="str">
        <f t="shared" si="10"/>
        <v/>
      </c>
      <c r="E90" s="1"/>
      <c r="F90" s="1" t="str">
        <f t="shared" si="11"/>
        <v/>
      </c>
      <c r="G90" s="1"/>
      <c r="H90" s="1">
        <f t="shared" si="12"/>
        <v>320</v>
      </c>
      <c r="I90" s="1" t="s">
        <v>65</v>
      </c>
      <c r="J90" s="1">
        <f t="shared" si="13"/>
        <v>416</v>
      </c>
      <c r="K90" s="1" t="s">
        <v>62</v>
      </c>
      <c r="M90">
        <f>SUM(A:A)</f>
        <v>32.950000000000003</v>
      </c>
    </row>
    <row r="91" spans="1:15" ht="16.5" x14ac:dyDescent="0.3">
      <c r="A91" s="1">
        <v>0.5</v>
      </c>
      <c r="B91" s="1">
        <f t="shared" si="9"/>
        <v>32</v>
      </c>
      <c r="C91" s="1" t="s">
        <v>62</v>
      </c>
      <c r="D91" s="1">
        <f t="shared" si="10"/>
        <v>128</v>
      </c>
      <c r="E91" s="1" t="s">
        <v>65</v>
      </c>
      <c r="F91" s="1" t="str">
        <f t="shared" si="11"/>
        <v/>
      </c>
      <c r="G91" s="1"/>
      <c r="H91" s="1" t="str">
        <f t="shared" si="12"/>
        <v/>
      </c>
      <c r="I91" s="1"/>
      <c r="J91" s="1" t="str">
        <f t="shared" si="13"/>
        <v/>
      </c>
      <c r="K91" s="1"/>
    </row>
    <row r="92" spans="1:15" ht="16.5" x14ac:dyDescent="0.3">
      <c r="A92" s="1">
        <v>0.5</v>
      </c>
      <c r="B92" s="1" t="str">
        <f t="shared" si="9"/>
        <v/>
      </c>
      <c r="C92" s="1"/>
      <c r="D92" s="1">
        <f t="shared" si="10"/>
        <v>128</v>
      </c>
      <c r="E92" s="1" t="s">
        <v>65</v>
      </c>
      <c r="F92" s="1" t="str">
        <f t="shared" si="11"/>
        <v/>
      </c>
      <c r="G92" s="1"/>
      <c r="H92" s="1">
        <f t="shared" si="12"/>
        <v>320</v>
      </c>
      <c r="I92" s="1" t="s">
        <v>65</v>
      </c>
      <c r="J92" s="1" t="str">
        <f t="shared" si="13"/>
        <v/>
      </c>
      <c r="K92" s="1"/>
    </row>
    <row r="93" spans="1:15" ht="16.5" x14ac:dyDescent="0.3">
      <c r="A93" s="1">
        <v>0.5</v>
      </c>
      <c r="B93" s="1">
        <f t="shared" si="9"/>
        <v>32</v>
      </c>
      <c r="C93" s="1" t="s">
        <v>65</v>
      </c>
      <c r="D93" s="1" t="str">
        <f t="shared" si="10"/>
        <v/>
      </c>
      <c r="E93" s="1"/>
      <c r="F93" s="1">
        <f t="shared" si="11"/>
        <v>224</v>
      </c>
      <c r="G93" s="1" t="s">
        <v>69</v>
      </c>
      <c r="H93" s="1" t="str">
        <f t="shared" si="12"/>
        <v/>
      </c>
      <c r="I93" s="1"/>
      <c r="J93" s="1">
        <f t="shared" si="13"/>
        <v>416</v>
      </c>
      <c r="K93" s="1" t="s">
        <v>65</v>
      </c>
    </row>
    <row r="94" spans="1:15" ht="16.5" x14ac:dyDescent="0.3">
      <c r="A94" s="1">
        <v>0.5</v>
      </c>
      <c r="B94" s="1" t="str">
        <f t="shared" si="9"/>
        <v/>
      </c>
      <c r="C94" s="1"/>
      <c r="D94" s="1">
        <f t="shared" si="10"/>
        <v>128</v>
      </c>
      <c r="E94" s="1" t="s">
        <v>65</v>
      </c>
      <c r="F94" s="1" t="str">
        <f t="shared" si="11"/>
        <v/>
      </c>
      <c r="G94" s="1"/>
      <c r="H94" s="1">
        <f t="shared" si="12"/>
        <v>320</v>
      </c>
      <c r="I94" s="1" t="s">
        <v>65</v>
      </c>
      <c r="J94" s="1" t="str">
        <f t="shared" si="13"/>
        <v/>
      </c>
      <c r="K94" s="1"/>
    </row>
    <row r="95" spans="1:15" ht="16.5" x14ac:dyDescent="0.3">
      <c r="A95" s="1">
        <v>0.5</v>
      </c>
      <c r="B95" s="1"/>
      <c r="C95" s="1"/>
      <c r="D95" s="1"/>
      <c r="E95" s="1"/>
      <c r="F95" s="1">
        <f t="shared" si="11"/>
        <v>224</v>
      </c>
      <c r="G95" s="1" t="s">
        <v>65</v>
      </c>
      <c r="H95" s="1" t="str">
        <f t="shared" si="12"/>
        <v/>
      </c>
      <c r="I95" s="1"/>
      <c r="J95" s="1" t="str">
        <f t="shared" si="13"/>
        <v/>
      </c>
      <c r="K95" s="1"/>
    </row>
    <row r="96" spans="1:15" ht="16.5" x14ac:dyDescent="0.3">
      <c r="A96" s="1">
        <v>0</v>
      </c>
      <c r="B96" s="1" t="s">
        <v>61</v>
      </c>
      <c r="C96" s="1"/>
      <c r="D96" s="1"/>
      <c r="E96" s="1"/>
      <c r="F96" s="1"/>
      <c r="G96" s="1"/>
      <c r="H96" s="1"/>
      <c r="I96" s="1"/>
      <c r="J96" s="1" t="str">
        <f t="shared" si="13"/>
        <v/>
      </c>
      <c r="K96" s="1"/>
    </row>
    <row r="97" ht="16.5" x14ac:dyDescent="0.3"/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level1</vt:lpstr>
      <vt:lpstr>level2</vt:lpstr>
      <vt:lpstr>level3</vt:lpstr>
      <vt:lpstr>_level1</vt:lpstr>
      <vt:lpstr>_level1 Saving20191013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2019-10-14T14:51:59Z</dcterms:modified>
</cp:coreProperties>
</file>