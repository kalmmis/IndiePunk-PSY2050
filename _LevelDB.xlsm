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48" windowWidth="23256" windowHeight="12576"/>
  </bookViews>
  <sheets>
    <sheet name="level1" sheetId="1" r:id="rId1"/>
    <sheet name="level2" sheetId="2" r:id="rId2"/>
    <sheet name="level3" sheetId="3" r:id="rId3"/>
    <sheet name="_level1" sheetId="5" r:id="rId4"/>
  </sheets>
  <functionGroups builtInGroupCount="17"/>
  <calcPr calcId="144525"/>
</workbook>
</file>

<file path=xl/calcChain.xml><?xml version="1.0" encoding="utf-8"?>
<calcChain xmlns="http://schemas.openxmlformats.org/spreadsheetml/2006/main">
  <c r="J27" i="1" l="1"/>
  <c r="J28" i="1" l="1"/>
  <c r="H16" i="1" l="1"/>
  <c r="F16" i="1"/>
  <c r="D16" i="1"/>
  <c r="B16" i="1"/>
  <c r="B15" i="1"/>
  <c r="D15" i="1"/>
  <c r="F15" i="1"/>
  <c r="J15" i="1"/>
  <c r="F12" i="1"/>
  <c r="B12" i="1"/>
  <c r="J8" i="1"/>
  <c r="J13" i="1"/>
  <c r="J14" i="1"/>
  <c r="J20" i="1"/>
  <c r="J21" i="1"/>
  <c r="B5" i="1"/>
  <c r="B6" i="1"/>
  <c r="B7" i="1"/>
  <c r="B8" i="1"/>
  <c r="B9" i="1"/>
  <c r="B10" i="1"/>
  <c r="B11" i="1"/>
  <c r="B13" i="1"/>
  <c r="B14" i="1"/>
  <c r="B17" i="1"/>
  <c r="B18" i="1"/>
  <c r="B19" i="1"/>
  <c r="B20" i="1"/>
  <c r="J24" i="5" l="1"/>
  <c r="F24" i="5"/>
  <c r="B24" i="5"/>
  <c r="H23" i="5"/>
  <c r="D23" i="5"/>
  <c r="B23" i="5"/>
  <c r="J22" i="5"/>
  <c r="F22" i="5"/>
  <c r="B22" i="5"/>
  <c r="B21" i="5"/>
  <c r="H20" i="5"/>
  <c r="D20" i="5"/>
  <c r="B20" i="5"/>
  <c r="J19" i="5"/>
  <c r="H19" i="5"/>
  <c r="F19" i="5"/>
  <c r="D19" i="5"/>
  <c r="B19" i="5"/>
  <c r="J18" i="5"/>
  <c r="H18" i="5"/>
  <c r="F18" i="5"/>
  <c r="D18" i="5"/>
  <c r="B18" i="5"/>
  <c r="M17" i="5"/>
  <c r="H17" i="5"/>
  <c r="F17" i="5"/>
  <c r="D17" i="5"/>
  <c r="B17" i="5"/>
  <c r="H16" i="5"/>
  <c r="F16" i="5"/>
  <c r="D16" i="5"/>
  <c r="B16" i="5"/>
  <c r="H15" i="5"/>
  <c r="F15" i="5"/>
  <c r="D15" i="5"/>
  <c r="B15" i="5"/>
  <c r="J14" i="5"/>
  <c r="H14" i="5"/>
  <c r="F14" i="5"/>
  <c r="D14" i="5"/>
  <c r="B14" i="5"/>
  <c r="J13" i="5"/>
  <c r="H13" i="5"/>
  <c r="F13" i="5"/>
  <c r="D13" i="5"/>
  <c r="J12" i="5"/>
  <c r="H12" i="5"/>
  <c r="F12" i="5"/>
  <c r="D12" i="5"/>
  <c r="H11" i="5"/>
  <c r="F11" i="5"/>
  <c r="D11" i="5"/>
  <c r="B11" i="5"/>
  <c r="H10" i="5"/>
  <c r="F10" i="5"/>
  <c r="D10" i="5"/>
  <c r="B10" i="5"/>
  <c r="H9" i="5"/>
  <c r="F9" i="5"/>
  <c r="D9" i="5"/>
  <c r="B9" i="5"/>
  <c r="J8" i="5"/>
  <c r="F8" i="5"/>
  <c r="B8" i="5"/>
  <c r="H7" i="5"/>
  <c r="D7" i="5"/>
  <c r="B7" i="5"/>
  <c r="J6" i="5"/>
  <c r="F6" i="5"/>
  <c r="B6" i="5"/>
  <c r="B5" i="5"/>
  <c r="N4" i="5"/>
  <c r="N5" i="5" s="1"/>
  <c r="H4" i="5"/>
  <c r="D4" i="5"/>
  <c r="B4" i="5"/>
  <c r="J3" i="5"/>
  <c r="F3" i="5"/>
  <c r="D3" i="5"/>
  <c r="B3" i="5"/>
  <c r="H2" i="5"/>
  <c r="D2" i="5"/>
  <c r="B2" i="5"/>
  <c r="F4" i="5" l="1"/>
  <c r="F2" i="5"/>
  <c r="F21" i="5"/>
  <c r="F5" i="5"/>
  <c r="N6" i="5"/>
  <c r="F20" i="5"/>
  <c r="F23" i="5"/>
  <c r="F7" i="5"/>
  <c r="D6" i="5"/>
  <c r="D22" i="5"/>
  <c r="D5" i="5"/>
  <c r="D24" i="5"/>
  <c r="D8" i="5"/>
  <c r="D21" i="5"/>
  <c r="J24" i="2"/>
  <c r="F24" i="2"/>
  <c r="D24" i="2"/>
  <c r="B24" i="2"/>
  <c r="H23" i="2"/>
  <c r="D23" i="2"/>
  <c r="B23" i="2"/>
  <c r="J22" i="2"/>
  <c r="F22" i="2"/>
  <c r="B22" i="2"/>
  <c r="D21" i="2"/>
  <c r="B21" i="2"/>
  <c r="H20" i="2"/>
  <c r="D20" i="2"/>
  <c r="B20" i="2"/>
  <c r="J19" i="2"/>
  <c r="H19" i="2"/>
  <c r="F19" i="2"/>
  <c r="D19" i="2"/>
  <c r="B19" i="2"/>
  <c r="J18" i="2"/>
  <c r="H18" i="2"/>
  <c r="F18" i="2"/>
  <c r="D18" i="2"/>
  <c r="B18" i="2"/>
  <c r="M17" i="2"/>
  <c r="H17" i="2"/>
  <c r="F17" i="2"/>
  <c r="D17" i="2"/>
  <c r="B17" i="2"/>
  <c r="H16" i="2"/>
  <c r="F16" i="2"/>
  <c r="D16" i="2"/>
  <c r="B16" i="2"/>
  <c r="H15" i="2"/>
  <c r="F15" i="2"/>
  <c r="D15" i="2"/>
  <c r="B15" i="2"/>
  <c r="H14" i="2"/>
  <c r="D14" i="2"/>
  <c r="B14" i="2"/>
  <c r="J13" i="2"/>
  <c r="H13" i="2"/>
  <c r="F13" i="2"/>
  <c r="D13" i="2"/>
  <c r="B13" i="2"/>
  <c r="J12" i="2"/>
  <c r="H12" i="2"/>
  <c r="F12" i="2"/>
  <c r="D12" i="2"/>
  <c r="B12" i="2"/>
  <c r="H11" i="2"/>
  <c r="F11" i="2"/>
  <c r="D11" i="2"/>
  <c r="B11" i="2"/>
  <c r="H10" i="2"/>
  <c r="F10" i="2"/>
  <c r="D10" i="2"/>
  <c r="B10" i="2"/>
  <c r="H9" i="2"/>
  <c r="F9" i="2"/>
  <c r="D9" i="2"/>
  <c r="B9" i="2"/>
  <c r="J8" i="2"/>
  <c r="F8" i="2"/>
  <c r="D8" i="2"/>
  <c r="B8" i="2"/>
  <c r="H7" i="2"/>
  <c r="D7" i="2"/>
  <c r="B7" i="2"/>
  <c r="N6" i="2"/>
  <c r="H21" i="2" s="1"/>
  <c r="J6" i="2"/>
  <c r="F6" i="2"/>
  <c r="B6" i="2"/>
  <c r="N5" i="2"/>
  <c r="F14" i="2" s="1"/>
  <c r="H5" i="2"/>
  <c r="B5" i="2"/>
  <c r="N4" i="2"/>
  <c r="D22" i="2" s="1"/>
  <c r="H4" i="2"/>
  <c r="F4" i="2"/>
  <c r="D4" i="2"/>
  <c r="B4" i="2"/>
  <c r="J3" i="2"/>
  <c r="F3" i="2"/>
  <c r="D3" i="2"/>
  <c r="B3" i="2"/>
  <c r="H2" i="2"/>
  <c r="D2" i="2"/>
  <c r="B2" i="2"/>
  <c r="H21" i="5" l="1"/>
  <c r="H8" i="5"/>
  <c r="H24" i="5"/>
  <c r="H5" i="5"/>
  <c r="H22" i="5"/>
  <c r="N7" i="5"/>
  <c r="H6" i="5"/>
  <c r="H3" i="5"/>
  <c r="H8" i="2"/>
  <c r="F21" i="2"/>
  <c r="D6" i="2"/>
  <c r="H3" i="2"/>
  <c r="F23" i="2"/>
  <c r="F20" i="2"/>
  <c r="H22" i="2"/>
  <c r="F7" i="2"/>
  <c r="D5" i="2"/>
  <c r="H6" i="2"/>
  <c r="N7" i="2"/>
  <c r="F2" i="2"/>
  <c r="F5" i="2"/>
  <c r="H24" i="2"/>
  <c r="F14" i="1"/>
  <c r="D14" i="1"/>
  <c r="F13" i="1"/>
  <c r="D13" i="1"/>
  <c r="H11" i="1"/>
  <c r="F11" i="1"/>
  <c r="D11" i="1"/>
  <c r="H10" i="1"/>
  <c r="F10" i="1"/>
  <c r="D10" i="1"/>
  <c r="H9" i="1"/>
  <c r="F9" i="1"/>
  <c r="D9" i="1"/>
  <c r="J26" i="1"/>
  <c r="F26" i="1"/>
  <c r="B26" i="1"/>
  <c r="H25" i="1"/>
  <c r="D25" i="1"/>
  <c r="B25" i="1"/>
  <c r="J24" i="1"/>
  <c r="F24" i="1"/>
  <c r="B24" i="1"/>
  <c r="B23" i="1"/>
  <c r="M19" i="1"/>
  <c r="J16" i="5" l="1"/>
  <c r="J5" i="5"/>
  <c r="J2" i="5"/>
  <c r="J9" i="5"/>
  <c r="J10" i="5" s="1"/>
  <c r="J11" i="5" s="1"/>
  <c r="J4" i="5"/>
  <c r="J20" i="5"/>
  <c r="J17" i="5"/>
  <c r="J23" i="5"/>
  <c r="J7" i="5"/>
  <c r="J15" i="5"/>
  <c r="J21" i="5"/>
  <c r="J14" i="2"/>
  <c r="J2" i="2"/>
  <c r="J20" i="2"/>
  <c r="J17" i="2"/>
  <c r="J9" i="2"/>
  <c r="J23" i="2"/>
  <c r="J15" i="2"/>
  <c r="J16" i="2"/>
  <c r="J4" i="2"/>
  <c r="J5" i="2"/>
  <c r="J21" i="2"/>
  <c r="J10" i="2"/>
  <c r="J7" i="2"/>
  <c r="J11" i="2"/>
  <c r="F8" i="1"/>
  <c r="H7" i="1"/>
  <c r="D7" i="1"/>
  <c r="J6" i="1"/>
  <c r="F6" i="1"/>
  <c r="H4" i="1"/>
  <c r="D4" i="1"/>
  <c r="B4" i="1"/>
  <c r="J3" i="1"/>
  <c r="F3" i="1"/>
  <c r="B3" i="1"/>
  <c r="H22" i="1"/>
  <c r="D22" i="1"/>
  <c r="B22" i="1"/>
  <c r="F21" i="1"/>
  <c r="B21" i="1"/>
  <c r="H19" i="1"/>
  <c r="H2" i="1"/>
  <c r="D2" i="1"/>
  <c r="B2" i="1"/>
  <c r="N4" i="1" l="1"/>
  <c r="D19" i="1" s="1"/>
  <c r="D12" i="1" l="1"/>
  <c r="D23" i="1"/>
  <c r="D24" i="1"/>
  <c r="D26" i="1"/>
  <c r="D17" i="1"/>
  <c r="D20" i="1"/>
  <c r="D5" i="1"/>
  <c r="D8" i="1"/>
  <c r="D18" i="1"/>
  <c r="D3" i="1"/>
  <c r="D21" i="1"/>
  <c r="D6" i="1"/>
  <c r="N5" i="1"/>
  <c r="F17" i="1" l="1"/>
  <c r="F19" i="1"/>
  <c r="F18" i="1"/>
  <c r="N6" i="1"/>
  <c r="F23" i="1"/>
  <c r="F25" i="1"/>
  <c r="F7" i="1"/>
  <c r="F20" i="1"/>
  <c r="F22" i="1"/>
  <c r="F5" i="1"/>
  <c r="F2" i="1"/>
  <c r="F4" i="1"/>
  <c r="H12" i="1" l="1"/>
  <c r="H15" i="1"/>
  <c r="H14" i="1"/>
  <c r="H13" i="1"/>
  <c r="N7" i="1"/>
  <c r="H24" i="1"/>
  <c r="H23" i="1"/>
  <c r="H26" i="1"/>
  <c r="H17" i="1"/>
  <c r="H20" i="1"/>
  <c r="H5" i="1"/>
  <c r="H8" i="1"/>
  <c r="H18" i="1"/>
  <c r="H3" i="1"/>
  <c r="H21" i="1"/>
  <c r="H6" i="1"/>
  <c r="J16" i="1" l="1"/>
  <c r="J12" i="1"/>
  <c r="J7" i="1"/>
  <c r="J18" i="1"/>
  <c r="J9" i="1"/>
  <c r="J19" i="1"/>
  <c r="J10" i="1"/>
  <c r="J22" i="1"/>
  <c r="J23" i="1"/>
  <c r="J11" i="1"/>
  <c r="J17" i="1"/>
  <c r="J25" i="1"/>
  <c r="J5" i="1"/>
  <c r="J2" i="1"/>
  <c r="J4" i="1"/>
</calcChain>
</file>

<file path=xl/sharedStrings.xml><?xml version="1.0" encoding="utf-8"?>
<sst xmlns="http://schemas.openxmlformats.org/spreadsheetml/2006/main" count="289" uniqueCount="54">
  <si>
    <t>ADAA060</t>
  </si>
  <si>
    <t>ACAA060</t>
  </si>
  <si>
    <t>ABXA060</t>
  </si>
  <si>
    <t>AABA060</t>
  </si>
  <si>
    <t>AAAA060</t>
  </si>
  <si>
    <t>AAXA060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</si>
  <si>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</si>
  <si>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</si>
  <si>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</si>
  <si>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</si>
  <si>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</si>
  <si>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</si>
  <si>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</si>
  <si>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</si>
  <si>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</si>
  <si>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</si>
  <si>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</si>
  <si>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</si>
  <si>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</si>
  <si>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</si>
  <si>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</si>
  <si>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</si>
  <si>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</si>
  <si>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</si>
  <si>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</si>
  <si>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A의 패턴 지속 시간 (duration) 보스에만 사용</t>
    <phoneticPr fontId="1" type="noConversion"/>
  </si>
  <si>
    <t>첫번째</t>
    <phoneticPr fontId="1" type="noConversion"/>
  </si>
  <si>
    <t>두번째</t>
    <phoneticPr fontId="1" type="noConversion"/>
  </si>
  <si>
    <t>세번째</t>
    <phoneticPr fontId="1" type="noConversion"/>
  </si>
  <si>
    <t>네번째</t>
    <phoneticPr fontId="1" type="noConversion"/>
  </si>
  <si>
    <t>숫자</t>
    <phoneticPr fontId="1" type="noConversion"/>
  </si>
  <si>
    <t>060 프레임의 샷타임으로 공격한다</t>
  </si>
  <si>
    <t>자코 패턴 총 플레이 타임</t>
    <phoneticPr fontId="1" type="noConversion"/>
  </si>
  <si>
    <t>ACAA060</t>
    <phoneticPr fontId="1" type="noConversion"/>
  </si>
  <si>
    <t>ADAA060</t>
    <phoneticPr fontId="1" type="noConversion"/>
  </si>
  <si>
    <t>AEAA060</t>
    <phoneticPr fontId="1" type="noConversion"/>
  </si>
  <si>
    <t>AFAA060</t>
    <phoneticPr fontId="1" type="noConversion"/>
  </si>
  <si>
    <t>AAAX060</t>
    <phoneticPr fontId="1" type="noConversion"/>
  </si>
  <si>
    <t>AAAA120</t>
  </si>
  <si>
    <t>AAAX120</t>
  </si>
  <si>
    <t>AABA120</t>
  </si>
  <si>
    <t>120 프레임의 샷타임으로 공격한다</t>
  </si>
  <si>
    <t>AFCA060</t>
  </si>
  <si>
    <t>AECA060</t>
  </si>
  <si>
    <t>ADCA060</t>
  </si>
  <si>
    <t>ACCA060</t>
  </si>
  <si>
    <t>CADA030</t>
  </si>
  <si>
    <t>AFCA020</t>
  </si>
  <si>
    <t>CADA020</t>
  </si>
  <si>
    <t>ACCA020</t>
  </si>
  <si>
    <t>030 프레임의 샷타임으로 공격한다</t>
  </si>
  <si>
    <t>AACA030</t>
  </si>
  <si>
    <t>load id=Story01Start</t>
    <phoneticPr fontId="1" type="noConversion"/>
  </si>
  <si>
    <t>AAEA030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</si>
</sst>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8"/>
  <sheetViews>
    <sheetView tabSelected="1" workbookViewId="0">
      <selection activeCell="E13" sqref="E13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5" x14ac:dyDescent="0.3">
      <c r="A2" s="1">
        <v>0.03</v>
      </c>
      <c r="B2" s="1">
        <f t="shared" ref="B2:B22" si="0">IF(C2&lt;&gt;"",$N$3,"")</f>
        <v>32</v>
      </c>
      <c r="C2" s="1" t="s">
        <v>53</v>
      </c>
      <c r="D2" s="1" t="str">
        <f t="shared" ref="D2:D22" si="1">IF(E2&lt;&gt;"",$N$4,"")</f>
        <v/>
      </c>
      <c r="E2" s="1"/>
      <c r="F2" s="1">
        <f t="shared" ref="F2:F22" si="2">IF(G2&lt;&gt;"",$N$5,"")</f>
        <v>224</v>
      </c>
      <c r="G2" s="1" t="s">
        <v>53</v>
      </c>
      <c r="H2" s="1" t="str">
        <f t="shared" ref="H2:H22" si="3">IF(I2&lt;&gt;"",$N$6,"")</f>
        <v/>
      </c>
      <c r="I2" s="1"/>
      <c r="J2" s="1">
        <f t="shared" ref="J2" si="4">IF(K2&lt;&gt;"",$N$7,"")</f>
        <v>416</v>
      </c>
      <c r="K2" s="1" t="s">
        <v>53</v>
      </c>
    </row>
    <row r="3" spans="1:15" ht="16.5" x14ac:dyDescent="0.3">
      <c r="A3" s="1">
        <v>0.03</v>
      </c>
      <c r="B3" s="1" t="str">
        <f t="shared" ref="B3:B20" si="5">IF(C3&lt;&gt;"",$N$3,"")</f>
        <v/>
      </c>
      <c r="C3" s="1"/>
      <c r="D3" s="1">
        <f t="shared" ref="D3:D15" si="6">IF(E3&lt;&gt;"",$N$4,"")</f>
        <v>128</v>
      </c>
      <c r="E3" s="1" t="s">
        <v>53</v>
      </c>
      <c r="F3" s="1" t="str">
        <f t="shared" ref="F3:F17" si="7">IF(G3&lt;&gt;"",$N$5,"")</f>
        <v/>
      </c>
      <c r="G3" s="1"/>
      <c r="H3" s="1">
        <f t="shared" ref="H3:H12" si="8">IF(I3&lt;&gt;"",$N$6,"")</f>
        <v>320</v>
      </c>
      <c r="I3" s="1" t="s">
        <v>53</v>
      </c>
      <c r="J3" s="1" t="str">
        <f t="shared" ref="J3:J23" si="9">IF(K3&lt;&gt;"",$N$7,"")</f>
        <v/>
      </c>
      <c r="K3" s="1"/>
      <c r="M3" s="1" t="s">
        <v>17</v>
      </c>
      <c r="N3" s="1">
        <v>32</v>
      </c>
    </row>
    <row r="4" spans="1:15" ht="16.5" x14ac:dyDescent="0.3">
      <c r="A4" s="1">
        <v>0.03</v>
      </c>
      <c r="B4" s="1">
        <f t="shared" si="5"/>
        <v>32</v>
      </c>
      <c r="C4" s="1" t="s">
        <v>53</v>
      </c>
      <c r="D4" s="1" t="str">
        <f t="shared" si="6"/>
        <v/>
      </c>
      <c r="E4" s="1"/>
      <c r="F4" s="1">
        <f t="shared" si="7"/>
        <v>224</v>
      </c>
      <c r="G4" s="1" t="s">
        <v>53</v>
      </c>
      <c r="H4" s="1" t="str">
        <f t="shared" si="8"/>
        <v/>
      </c>
      <c r="I4" s="1"/>
      <c r="J4" s="1">
        <f t="shared" si="9"/>
        <v>416</v>
      </c>
      <c r="K4" s="1" t="s">
        <v>53</v>
      </c>
      <c r="M4" s="1" t="s">
        <v>18</v>
      </c>
      <c r="N4" s="1">
        <f>N3+96</f>
        <v>128</v>
      </c>
    </row>
    <row r="5" spans="1:15" ht="16.5" x14ac:dyDescent="0.3">
      <c r="A5" s="1">
        <v>0.03</v>
      </c>
      <c r="B5" s="1">
        <f t="shared" si="5"/>
        <v>32</v>
      </c>
      <c r="C5" s="1" t="s">
        <v>46</v>
      </c>
      <c r="D5" s="1">
        <f t="shared" si="6"/>
        <v>128</v>
      </c>
      <c r="E5" s="1" t="s">
        <v>53</v>
      </c>
      <c r="F5" s="1">
        <f t="shared" si="7"/>
        <v>224</v>
      </c>
      <c r="G5" s="1" t="s">
        <v>46</v>
      </c>
      <c r="H5" s="1">
        <f t="shared" si="8"/>
        <v>320</v>
      </c>
      <c r="I5" s="1" t="s">
        <v>53</v>
      </c>
      <c r="J5" s="1">
        <f t="shared" si="9"/>
        <v>416</v>
      </c>
      <c r="K5" s="1" t="s">
        <v>46</v>
      </c>
      <c r="M5" s="1" t="s">
        <v>19</v>
      </c>
      <c r="N5" s="1">
        <f t="shared" ref="N5:N7" si="10">N4+96</f>
        <v>224</v>
      </c>
    </row>
    <row r="6" spans="1:15" ht="16.5" x14ac:dyDescent="0.3">
      <c r="A6" s="1">
        <v>0.03</v>
      </c>
      <c r="B6" s="1" t="str">
        <f t="shared" si="5"/>
        <v/>
      </c>
      <c r="C6" s="1"/>
      <c r="D6" s="1">
        <f t="shared" si="6"/>
        <v>128</v>
      </c>
      <c r="E6" s="1" t="s">
        <v>46</v>
      </c>
      <c r="F6" s="1" t="str">
        <f t="shared" si="7"/>
        <v/>
      </c>
      <c r="G6" s="1"/>
      <c r="H6" s="1">
        <f t="shared" si="8"/>
        <v>320</v>
      </c>
      <c r="I6" s="1" t="s">
        <v>46</v>
      </c>
      <c r="J6" s="1" t="str">
        <f t="shared" si="9"/>
        <v/>
      </c>
      <c r="K6" s="1"/>
      <c r="M6" s="1" t="s">
        <v>20</v>
      </c>
      <c r="N6" s="1">
        <f t="shared" si="10"/>
        <v>320</v>
      </c>
    </row>
    <row r="7" spans="1:15" ht="16.5" x14ac:dyDescent="0.3">
      <c r="A7" s="1">
        <v>0.03</v>
      </c>
      <c r="B7" s="1">
        <f t="shared" si="5"/>
        <v>32</v>
      </c>
      <c r="C7" s="1" t="s">
        <v>46</v>
      </c>
      <c r="D7" s="1" t="str">
        <f t="shared" si="6"/>
        <v/>
      </c>
      <c r="E7" s="1"/>
      <c r="F7" s="1">
        <f t="shared" si="7"/>
        <v>224</v>
      </c>
      <c r="G7" s="1" t="s">
        <v>46</v>
      </c>
      <c r="H7" s="1" t="str">
        <f t="shared" si="8"/>
        <v/>
      </c>
      <c r="I7" s="1"/>
      <c r="J7" s="1">
        <f t="shared" si="9"/>
        <v>416</v>
      </c>
      <c r="K7" s="1" t="s">
        <v>46</v>
      </c>
      <c r="M7" s="1" t="s">
        <v>21</v>
      </c>
      <c r="N7" s="1">
        <f t="shared" si="10"/>
        <v>416</v>
      </c>
    </row>
    <row r="8" spans="1:15" ht="16.5" x14ac:dyDescent="0.3">
      <c r="A8" s="1">
        <v>0.03</v>
      </c>
      <c r="B8" s="1" t="str">
        <f t="shared" si="5"/>
        <v/>
      </c>
      <c r="C8" s="1"/>
      <c r="D8" s="1">
        <f t="shared" si="6"/>
        <v>128</v>
      </c>
      <c r="E8" s="1" t="s">
        <v>53</v>
      </c>
      <c r="F8" s="1" t="str">
        <f t="shared" si="7"/>
        <v/>
      </c>
      <c r="G8" s="1"/>
      <c r="H8" s="1">
        <f t="shared" si="8"/>
        <v>320</v>
      </c>
      <c r="I8" s="1" t="s">
        <v>53</v>
      </c>
      <c r="J8" s="1" t="str">
        <f t="shared" si="9"/>
        <v/>
      </c>
      <c r="K8" s="1"/>
    </row>
    <row r="9" spans="1:15" ht="16.5" x14ac:dyDescent="0.3">
      <c r="A9" s="1">
        <v>0.03</v>
      </c>
      <c r="B9" s="1" t="str">
        <f t="shared" si="5"/>
        <v/>
      </c>
      <c r="C9" s="1"/>
      <c r="D9" s="1" t="str">
        <f t="shared" si="6"/>
        <v/>
      </c>
      <c r="E9" s="1"/>
      <c r="F9" s="1" t="str">
        <f t="shared" si="7"/>
        <v/>
      </c>
      <c r="G9" s="1"/>
      <c r="H9" s="1" t="str">
        <f t="shared" si="8"/>
        <v/>
      </c>
      <c r="I9" s="1"/>
      <c r="J9" s="1">
        <f t="shared" si="9"/>
        <v>416</v>
      </c>
      <c r="K9" s="1" t="s">
        <v>47</v>
      </c>
    </row>
    <row r="10" spans="1:15" x14ac:dyDescent="0.4">
      <c r="A10" s="1">
        <v>0.03</v>
      </c>
      <c r="B10" s="1" t="str">
        <f t="shared" si="5"/>
        <v/>
      </c>
      <c r="C10" s="1"/>
      <c r="D10" s="1" t="str">
        <f t="shared" si="6"/>
        <v/>
      </c>
      <c r="E10" s="1"/>
      <c r="F10" s="1" t="str">
        <f t="shared" si="7"/>
        <v/>
      </c>
      <c r="G10" s="1"/>
      <c r="H10" s="1" t="str">
        <f t="shared" si="8"/>
        <v/>
      </c>
      <c r="I10" s="1"/>
      <c r="J10" s="1">
        <f t="shared" si="9"/>
        <v>416</v>
      </c>
      <c r="K10" s="1" t="s">
        <v>47</v>
      </c>
      <c r="M10" t="s">
        <v>53</v>
      </c>
      <c r="N10" t="s">
        <v>26</v>
      </c>
      <c r="O10" t="s">
        <v>22</v>
      </c>
    </row>
    <row r="11" spans="1:15" x14ac:dyDescent="0.4">
      <c r="A11" s="1">
        <v>0.03</v>
      </c>
      <c r="B11" s="1" t="str">
        <f t="shared" si="5"/>
        <v/>
      </c>
      <c r="C11" s="1"/>
      <c r="D11" s="1" t="str">
        <f t="shared" si="6"/>
        <v/>
      </c>
      <c r="E11" s="1"/>
      <c r="F11" s="1" t="str">
        <f t="shared" si="7"/>
        <v/>
      </c>
      <c r="G11" s="1"/>
      <c r="H11" s="1" t="str">
        <f t="shared" si="8"/>
        <v/>
      </c>
      <c r="I11" s="1"/>
      <c r="J11" s="1">
        <f t="shared" si="9"/>
        <v>416</v>
      </c>
      <c r="K11" s="1" t="s">
        <v>47</v>
      </c>
      <c r="N11" t="s">
        <v>27</v>
      </c>
      <c r="O11" t="s">
        <v>23</v>
      </c>
    </row>
    <row r="12" spans="1:15" ht="16.5" x14ac:dyDescent="0.3">
      <c r="A12" s="1">
        <v>0.03</v>
      </c>
      <c r="B12" s="1">
        <f t="shared" ref="B12" si="11">IF(C12&lt;&gt;"",$N$3,"")</f>
        <v>32</v>
      </c>
      <c r="C12" s="1" t="s">
        <v>46</v>
      </c>
      <c r="D12" s="1" t="str">
        <f t="shared" si="6"/>
        <v/>
      </c>
      <c r="E12" s="1"/>
      <c r="F12" s="1" t="str">
        <f t="shared" si="7"/>
        <v/>
      </c>
      <c r="G12" s="1"/>
      <c r="H12" s="1" t="str">
        <f t="shared" si="8"/>
        <v/>
      </c>
      <c r="I12" s="1"/>
      <c r="J12" s="1">
        <f t="shared" ref="J12" si="12">IF(K12&lt;&gt;"",$N$7,"")</f>
        <v>416</v>
      </c>
      <c r="K12" s="1" t="s">
        <v>46</v>
      </c>
    </row>
    <row r="13" spans="1:15" x14ac:dyDescent="0.4">
      <c r="A13" s="1">
        <v>0.03</v>
      </c>
      <c r="B13" s="1">
        <f t="shared" si="5"/>
        <v>32</v>
      </c>
      <c r="C13" s="1" t="s">
        <v>48</v>
      </c>
      <c r="D13" s="1" t="str">
        <f t="shared" si="6"/>
        <v/>
      </c>
      <c r="E13" s="1"/>
      <c r="F13" s="1" t="str">
        <f t="shared" si="7"/>
        <v/>
      </c>
      <c r="G13" s="1"/>
      <c r="H13" s="1">
        <f t="shared" ref="H13:H16" si="13">IF(I13&lt;&gt;"",$N$6,"")</f>
        <v>320</v>
      </c>
      <c r="I13" s="1" t="s">
        <v>53</v>
      </c>
      <c r="J13" s="1" t="str">
        <f t="shared" si="9"/>
        <v/>
      </c>
      <c r="K13" s="1"/>
      <c r="N13" t="s">
        <v>28</v>
      </c>
      <c r="O13" t="s">
        <v>24</v>
      </c>
    </row>
    <row r="14" spans="1:15" x14ac:dyDescent="0.4">
      <c r="A14" s="1">
        <v>0.03</v>
      </c>
      <c r="B14" s="1">
        <f t="shared" si="5"/>
        <v>32</v>
      </c>
      <c r="C14" s="1" t="s">
        <v>48</v>
      </c>
      <c r="D14" s="1" t="str">
        <f t="shared" si="6"/>
        <v/>
      </c>
      <c r="E14" s="1"/>
      <c r="F14" s="1" t="str">
        <f t="shared" si="7"/>
        <v/>
      </c>
      <c r="G14" s="1"/>
      <c r="H14" s="1">
        <f t="shared" si="13"/>
        <v>320</v>
      </c>
      <c r="I14" s="1" t="s">
        <v>53</v>
      </c>
      <c r="J14" s="1" t="str">
        <f t="shared" si="9"/>
        <v/>
      </c>
      <c r="K14" s="1"/>
      <c r="N14" t="s">
        <v>29</v>
      </c>
      <c r="O14" t="s">
        <v>25</v>
      </c>
    </row>
    <row r="15" spans="1:15" x14ac:dyDescent="0.4">
      <c r="A15" s="1">
        <v>0.03</v>
      </c>
      <c r="B15" s="1">
        <f t="shared" si="5"/>
        <v>32</v>
      </c>
      <c r="C15" s="1" t="s">
        <v>48</v>
      </c>
      <c r="D15" s="1" t="str">
        <f t="shared" si="6"/>
        <v/>
      </c>
      <c r="E15" s="1"/>
      <c r="F15" s="1" t="str">
        <f t="shared" si="7"/>
        <v/>
      </c>
      <c r="G15" s="1"/>
      <c r="H15" s="1">
        <f t="shared" si="13"/>
        <v>320</v>
      </c>
      <c r="I15" s="1" t="s">
        <v>53</v>
      </c>
      <c r="J15" s="1" t="str">
        <f t="shared" si="9"/>
        <v/>
      </c>
      <c r="K15" s="1"/>
      <c r="N15" t="s">
        <v>30</v>
      </c>
      <c r="O15" t="s">
        <v>50</v>
      </c>
    </row>
    <row r="16" spans="1:15" ht="16.5" x14ac:dyDescent="0.3">
      <c r="A16" s="1">
        <v>0.03</v>
      </c>
      <c r="B16" s="1">
        <f t="shared" si="5"/>
        <v>32</v>
      </c>
      <c r="C16" s="1" t="s">
        <v>46</v>
      </c>
      <c r="D16" s="1" t="str">
        <f t="shared" ref="D16" si="14">IF(E16&lt;&gt;"",$N$4,"")</f>
        <v/>
      </c>
      <c r="E16" s="1"/>
      <c r="F16" s="1" t="str">
        <f t="shared" ref="F16" si="15">IF(G16&lt;&gt;"",$N$5,"")</f>
        <v/>
      </c>
      <c r="G16" s="1"/>
      <c r="H16" s="1" t="str">
        <f t="shared" si="13"/>
        <v/>
      </c>
      <c r="I16" s="1"/>
      <c r="J16" s="1">
        <f t="shared" si="9"/>
        <v>416</v>
      </c>
      <c r="K16" s="1" t="s">
        <v>46</v>
      </c>
    </row>
    <row r="17" spans="1:13" ht="16.5" x14ac:dyDescent="0.3">
      <c r="A17" s="1">
        <v>0.03</v>
      </c>
      <c r="B17" s="1" t="str">
        <f t="shared" si="5"/>
        <v/>
      </c>
      <c r="C17" s="1"/>
      <c r="D17" s="1">
        <f t="shared" ref="D17" si="16">IF(E17&lt;&gt;"",$N$4,"")</f>
        <v>128</v>
      </c>
      <c r="E17" s="1" t="s">
        <v>53</v>
      </c>
      <c r="F17" s="1" t="str">
        <f t="shared" si="7"/>
        <v/>
      </c>
      <c r="G17" s="1"/>
      <c r="H17" s="1" t="str">
        <f t="shared" ref="H17" si="17">IF(I17&lt;&gt;"",$N$6,"")</f>
        <v/>
      </c>
      <c r="I17" s="1"/>
      <c r="J17" s="1">
        <f t="shared" si="9"/>
        <v>416</v>
      </c>
      <c r="K17" s="1" t="s">
        <v>48</v>
      </c>
    </row>
    <row r="18" spans="1:13" x14ac:dyDescent="0.4">
      <c r="A18" s="1">
        <v>0.03</v>
      </c>
      <c r="B18" s="1" t="str">
        <f t="shared" si="5"/>
        <v/>
      </c>
      <c r="C18" s="1"/>
      <c r="D18" s="1">
        <f t="shared" si="1"/>
        <v>128</v>
      </c>
      <c r="E18" s="1" t="s">
        <v>53</v>
      </c>
      <c r="F18" s="1" t="str">
        <f t="shared" ref="F18" si="18">IF(G18&lt;&gt;"",$N$5,"")</f>
        <v/>
      </c>
      <c r="G18" s="1"/>
      <c r="H18" s="1" t="str">
        <f t="shared" si="3"/>
        <v/>
      </c>
      <c r="I18" s="1"/>
      <c r="J18" s="1">
        <f t="shared" si="9"/>
        <v>416</v>
      </c>
      <c r="K18" s="1" t="s">
        <v>48</v>
      </c>
      <c r="M18" t="s">
        <v>32</v>
      </c>
    </row>
    <row r="19" spans="1:13" x14ac:dyDescent="0.4">
      <c r="A19" s="1">
        <v>0.03</v>
      </c>
      <c r="B19" s="1">
        <f t="shared" si="5"/>
        <v>32</v>
      </c>
      <c r="C19" s="1" t="s">
        <v>49</v>
      </c>
      <c r="D19" s="1">
        <f t="shared" si="1"/>
        <v>128</v>
      </c>
      <c r="E19" s="1" t="s">
        <v>53</v>
      </c>
      <c r="F19" s="1" t="str">
        <f t="shared" si="2"/>
        <v/>
      </c>
      <c r="G19" s="1"/>
      <c r="H19" s="1" t="str">
        <f t="shared" si="3"/>
        <v/>
      </c>
      <c r="I19" s="1"/>
      <c r="J19" s="1">
        <f t="shared" si="9"/>
        <v>416</v>
      </c>
      <c r="K19" s="1" t="s">
        <v>48</v>
      </c>
      <c r="M19">
        <f>SUM(A:A)</f>
        <v>0.8200000000000004</v>
      </c>
    </row>
    <row r="20" spans="1:13" x14ac:dyDescent="0.4">
      <c r="A20" s="1">
        <v>0.03</v>
      </c>
      <c r="B20" s="1">
        <f t="shared" si="5"/>
        <v>32</v>
      </c>
      <c r="C20" s="1" t="s">
        <v>49</v>
      </c>
      <c r="D20" s="1" t="str">
        <f t="shared" si="1"/>
        <v/>
      </c>
      <c r="E20" s="1"/>
      <c r="F20" s="1" t="str">
        <f t="shared" si="2"/>
        <v/>
      </c>
      <c r="G20" s="1"/>
      <c r="H20" s="1" t="str">
        <f t="shared" si="3"/>
        <v/>
      </c>
      <c r="I20" s="1"/>
      <c r="J20" s="1" t="str">
        <f t="shared" si="9"/>
        <v/>
      </c>
      <c r="K20" s="1"/>
    </row>
    <row r="21" spans="1:13" x14ac:dyDescent="0.4">
      <c r="A21" s="1">
        <v>0.03</v>
      </c>
      <c r="B21" s="1">
        <f t="shared" si="0"/>
        <v>32</v>
      </c>
      <c r="C21" s="1" t="s">
        <v>49</v>
      </c>
      <c r="D21" s="1" t="str">
        <f t="shared" si="1"/>
        <v/>
      </c>
      <c r="E21" s="1"/>
      <c r="F21" s="1" t="str">
        <f t="shared" si="2"/>
        <v/>
      </c>
      <c r="G21" s="1"/>
      <c r="H21" s="1" t="str">
        <f t="shared" si="3"/>
        <v/>
      </c>
      <c r="I21" s="1"/>
      <c r="J21" s="1" t="str">
        <f t="shared" si="9"/>
        <v/>
      </c>
      <c r="K21" s="1"/>
    </row>
    <row r="22" spans="1:13" x14ac:dyDescent="0.4">
      <c r="A22" s="1">
        <v>0.03</v>
      </c>
      <c r="B22" s="1">
        <f t="shared" si="0"/>
        <v>32</v>
      </c>
      <c r="C22" s="1" t="s">
        <v>46</v>
      </c>
      <c r="D22" s="1" t="str">
        <f t="shared" si="1"/>
        <v/>
      </c>
      <c r="E22" s="1"/>
      <c r="F22" s="1">
        <f t="shared" si="2"/>
        <v>224</v>
      </c>
      <c r="G22" s="1" t="s">
        <v>46</v>
      </c>
      <c r="H22" s="1" t="str">
        <f t="shared" si="3"/>
        <v/>
      </c>
      <c r="I22" s="1"/>
      <c r="J22" s="1">
        <f t="shared" si="9"/>
        <v>416</v>
      </c>
      <c r="K22" s="1" t="s">
        <v>46</v>
      </c>
    </row>
    <row r="23" spans="1:13" x14ac:dyDescent="0.4">
      <c r="A23" s="1">
        <v>0.03</v>
      </c>
      <c r="B23" s="1">
        <f t="shared" ref="B23:B26" si="19">IF(C23&lt;&gt;"",$N$3,"")</f>
        <v>32</v>
      </c>
      <c r="C23" s="1" t="s">
        <v>46</v>
      </c>
      <c r="D23" s="1">
        <f t="shared" ref="D23:D26" si="20">IF(E23&lt;&gt;"",$N$4,"")</f>
        <v>128</v>
      </c>
      <c r="E23" s="1" t="s">
        <v>53</v>
      </c>
      <c r="F23" s="1">
        <f t="shared" ref="F23:F26" si="21">IF(G23&lt;&gt;"",$N$5,"")</f>
        <v>224</v>
      </c>
      <c r="G23" s="1" t="s">
        <v>46</v>
      </c>
      <c r="H23" s="1">
        <f t="shared" ref="H23:H26" si="22">IF(I23&lt;&gt;"",$N$6,"")</f>
        <v>320</v>
      </c>
      <c r="I23" s="1" t="s">
        <v>53</v>
      </c>
      <c r="J23" s="1">
        <f t="shared" si="9"/>
        <v>416</v>
      </c>
      <c r="K23" s="1" t="s">
        <v>46</v>
      </c>
    </row>
    <row r="24" spans="1:13" ht="16.5" x14ac:dyDescent="0.3">
      <c r="A24" s="1">
        <v>0.03</v>
      </c>
      <c r="B24" s="1" t="str">
        <f t="shared" si="19"/>
        <v/>
      </c>
      <c r="C24" s="1"/>
      <c r="D24" s="1">
        <f t="shared" si="20"/>
        <v>128</v>
      </c>
      <c r="E24" s="1" t="s">
        <v>46</v>
      </c>
      <c r="F24" s="1" t="str">
        <f t="shared" si="21"/>
        <v/>
      </c>
      <c r="G24" s="1"/>
      <c r="H24" s="1">
        <f t="shared" si="22"/>
        <v>320</v>
      </c>
      <c r="I24" s="1" t="s">
        <v>46</v>
      </c>
      <c r="J24" s="1" t="str">
        <f t="shared" ref="J24:J26" si="23">IF(K24&lt;&gt;"",$N$7,"")</f>
        <v/>
      </c>
      <c r="K24" s="1"/>
    </row>
    <row r="25" spans="1:13" ht="16.5" x14ac:dyDescent="0.3">
      <c r="A25" s="1">
        <v>0.03</v>
      </c>
      <c r="B25" s="1">
        <f t="shared" si="19"/>
        <v>32</v>
      </c>
      <c r="C25" s="1" t="s">
        <v>46</v>
      </c>
      <c r="D25" s="1" t="str">
        <f t="shared" si="20"/>
        <v/>
      </c>
      <c r="E25" s="1"/>
      <c r="F25" s="1">
        <f t="shared" si="21"/>
        <v>224</v>
      </c>
      <c r="G25" s="1" t="s">
        <v>51</v>
      </c>
      <c r="H25" s="1" t="str">
        <f t="shared" si="22"/>
        <v/>
      </c>
      <c r="I25" s="1"/>
      <c r="J25" s="1">
        <f t="shared" si="23"/>
        <v>416</v>
      </c>
      <c r="K25" s="1" t="s">
        <v>46</v>
      </c>
    </row>
    <row r="26" spans="1:13" ht="16.5" x14ac:dyDescent="0.3">
      <c r="A26" s="1">
        <v>0.1</v>
      </c>
      <c r="B26" s="1" t="str">
        <f t="shared" si="19"/>
        <v/>
      </c>
      <c r="C26" s="1"/>
      <c r="D26" s="1">
        <f t="shared" si="20"/>
        <v>128</v>
      </c>
      <c r="E26" s="1" t="s">
        <v>51</v>
      </c>
      <c r="F26" s="1" t="str">
        <f t="shared" si="21"/>
        <v/>
      </c>
      <c r="G26" s="1"/>
      <c r="H26" s="1">
        <f t="shared" si="22"/>
        <v>320</v>
      </c>
      <c r="I26" s="1" t="s">
        <v>51</v>
      </c>
      <c r="J26" s="1" t="str">
        <f t="shared" si="23"/>
        <v/>
      </c>
      <c r="K26" s="1"/>
    </row>
    <row r="27" spans="1:13" ht="16.5" x14ac:dyDescent="0.3">
      <c r="A27" s="1">
        <v>0</v>
      </c>
      <c r="B27" s="1" t="s">
        <v>52</v>
      </c>
      <c r="C27" s="1"/>
      <c r="D27" s="1"/>
      <c r="E27" s="1"/>
      <c r="F27" s="1"/>
      <c r="G27" s="1"/>
      <c r="H27" s="1"/>
      <c r="I27" s="1"/>
      <c r="J27" s="1" t="str">
        <f>IF(K27&lt;&gt;"",$N$7,"")</f>
        <v/>
      </c>
      <c r="K27" s="1"/>
    </row>
    <row r="28" spans="1:13" ht="16.5" x14ac:dyDescent="0.3">
      <c r="A28" s="1"/>
      <c r="B28" s="1"/>
      <c r="C28" s="1"/>
      <c r="D28" s="1"/>
      <c r="E28" s="1"/>
      <c r="F28" s="1"/>
      <c r="G28" s="1"/>
      <c r="H28" s="1"/>
      <c r="I28" s="1"/>
      <c r="J28" s="1" t="str">
        <f t="shared" ref="J28" si="24">IF(K28&lt;&gt;"",$N$7,"")</f>
        <v/>
      </c>
      <c r="K28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24"/>
  <sheetViews>
    <sheetView workbookViewId="0">
      <selection activeCell="E24" sqref="E24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5" x14ac:dyDescent="0.3">
      <c r="A2" s="1">
        <v>2</v>
      </c>
      <c r="B2" s="1">
        <f t="shared" ref="B2:B24" si="0">IF(C2&lt;&gt;"",$N$3,"")</f>
        <v>32</v>
      </c>
      <c r="C2" s="1" t="s">
        <v>3</v>
      </c>
      <c r="D2" s="1" t="str">
        <f t="shared" ref="D2:D24" si="1">IF(E2&lt;&gt;"",$N$4,"")</f>
        <v/>
      </c>
      <c r="E2" s="1"/>
      <c r="F2" s="1">
        <f t="shared" ref="F2:F24" si="2">IF(G2&lt;&gt;"",$N$5,"")</f>
        <v>224</v>
      </c>
      <c r="G2" s="1" t="s">
        <v>3</v>
      </c>
      <c r="H2" s="1" t="str">
        <f t="shared" ref="H2:H24" si="3">IF(I2&lt;&gt;"",$N$6,"")</f>
        <v/>
      </c>
      <c r="I2" s="1"/>
      <c r="J2" s="1">
        <f t="shared" ref="J2:J24" si="4">IF(K2&lt;&gt;"",$N$7,"")</f>
        <v>416</v>
      </c>
      <c r="K2" s="1" t="s">
        <v>3</v>
      </c>
    </row>
    <row r="3" spans="1:15" ht="16.5" x14ac:dyDescent="0.3">
      <c r="A3" s="1">
        <v>2</v>
      </c>
      <c r="B3" s="1" t="str">
        <f t="shared" si="0"/>
        <v/>
      </c>
      <c r="C3" s="1"/>
      <c r="D3" s="1">
        <f t="shared" si="1"/>
        <v>128</v>
      </c>
      <c r="E3" s="1" t="s">
        <v>3</v>
      </c>
      <c r="F3" s="1" t="str">
        <f t="shared" si="2"/>
        <v/>
      </c>
      <c r="G3" s="1"/>
      <c r="H3" s="1">
        <f t="shared" si="3"/>
        <v>320</v>
      </c>
      <c r="I3" s="1" t="s">
        <v>3</v>
      </c>
      <c r="J3" s="1" t="str">
        <f t="shared" si="4"/>
        <v/>
      </c>
      <c r="K3" s="1"/>
      <c r="M3" s="1" t="s">
        <v>17</v>
      </c>
      <c r="N3" s="1">
        <v>32</v>
      </c>
    </row>
    <row r="4" spans="1:15" ht="16.5" x14ac:dyDescent="0.3">
      <c r="A4" s="1">
        <v>2</v>
      </c>
      <c r="B4" s="1">
        <f t="shared" si="0"/>
        <v>32</v>
      </c>
      <c r="C4" s="1" t="s">
        <v>2</v>
      </c>
      <c r="D4" s="1" t="str">
        <f t="shared" si="1"/>
        <v/>
      </c>
      <c r="E4" s="1"/>
      <c r="F4" s="1">
        <f t="shared" si="2"/>
        <v>224</v>
      </c>
      <c r="G4" s="1" t="s">
        <v>2</v>
      </c>
      <c r="H4" s="1" t="str">
        <f t="shared" si="3"/>
        <v/>
      </c>
      <c r="I4" s="1"/>
      <c r="J4" s="1">
        <f t="shared" si="4"/>
        <v>416</v>
      </c>
      <c r="K4" s="1" t="s">
        <v>2</v>
      </c>
      <c r="M4" s="1" t="s">
        <v>18</v>
      </c>
      <c r="N4" s="1">
        <f>N3+96</f>
        <v>128</v>
      </c>
    </row>
    <row r="5" spans="1:15" ht="16.5" x14ac:dyDescent="0.3">
      <c r="A5" s="1">
        <v>2</v>
      </c>
      <c r="B5" s="1">
        <f t="shared" si="0"/>
        <v>32</v>
      </c>
      <c r="C5" s="1" t="s">
        <v>4</v>
      </c>
      <c r="D5" s="1">
        <f t="shared" si="1"/>
        <v>128</v>
      </c>
      <c r="E5" s="1" t="s">
        <v>2</v>
      </c>
      <c r="F5" s="1">
        <f t="shared" si="2"/>
        <v>224</v>
      </c>
      <c r="G5" s="1" t="s">
        <v>4</v>
      </c>
      <c r="H5" s="1">
        <f t="shared" si="3"/>
        <v>320</v>
      </c>
      <c r="I5" s="1" t="s">
        <v>2</v>
      </c>
      <c r="J5" s="1">
        <f t="shared" si="4"/>
        <v>416</v>
      </c>
      <c r="K5" s="1" t="s">
        <v>4</v>
      </c>
      <c r="M5" s="1" t="s">
        <v>19</v>
      </c>
      <c r="N5" s="1">
        <f t="shared" ref="N5:N7" si="5">N4+96</f>
        <v>224</v>
      </c>
    </row>
    <row r="6" spans="1:15" ht="16.5" x14ac:dyDescent="0.3">
      <c r="A6" s="1">
        <v>2</v>
      </c>
      <c r="B6" s="1" t="str">
        <f t="shared" si="0"/>
        <v/>
      </c>
      <c r="C6" s="1"/>
      <c r="D6" s="1">
        <f t="shared" si="1"/>
        <v>128</v>
      </c>
      <c r="E6" s="1" t="s">
        <v>4</v>
      </c>
      <c r="F6" s="1" t="str">
        <f t="shared" si="2"/>
        <v/>
      </c>
      <c r="G6" s="1"/>
      <c r="H6" s="1">
        <f t="shared" si="3"/>
        <v>320</v>
      </c>
      <c r="I6" s="1" t="s">
        <v>4</v>
      </c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ht="16.5" x14ac:dyDescent="0.3">
      <c r="A7" s="1">
        <v>2</v>
      </c>
      <c r="B7" s="1">
        <f t="shared" si="0"/>
        <v>32</v>
      </c>
      <c r="C7" s="1" t="s">
        <v>4</v>
      </c>
      <c r="D7" s="1" t="str">
        <f t="shared" si="1"/>
        <v/>
      </c>
      <c r="E7" s="1"/>
      <c r="F7" s="1">
        <f t="shared" si="2"/>
        <v>224</v>
      </c>
      <c r="G7" s="1" t="s">
        <v>4</v>
      </c>
      <c r="H7" s="1" t="str">
        <f t="shared" si="3"/>
        <v/>
      </c>
      <c r="I7" s="1"/>
      <c r="J7" s="1">
        <f t="shared" si="4"/>
        <v>416</v>
      </c>
      <c r="K7" s="1" t="s">
        <v>4</v>
      </c>
      <c r="M7" s="1" t="s">
        <v>21</v>
      </c>
      <c r="N7" s="1">
        <f t="shared" si="5"/>
        <v>416</v>
      </c>
    </row>
    <row r="8" spans="1:15" ht="16.5" x14ac:dyDescent="0.3">
      <c r="A8" s="1">
        <v>2</v>
      </c>
      <c r="B8" s="1" t="str">
        <f t="shared" si="0"/>
        <v/>
      </c>
      <c r="C8" s="1"/>
      <c r="D8" s="1">
        <f t="shared" si="1"/>
        <v>128</v>
      </c>
      <c r="E8" s="1" t="s">
        <v>4</v>
      </c>
      <c r="F8" s="1" t="str">
        <f t="shared" si="2"/>
        <v/>
      </c>
      <c r="G8" s="1"/>
      <c r="H8" s="1">
        <f t="shared" si="3"/>
        <v>320</v>
      </c>
      <c r="I8" s="1" t="s">
        <v>4</v>
      </c>
      <c r="J8" s="1" t="str">
        <f t="shared" si="4"/>
        <v/>
      </c>
      <c r="K8" s="1"/>
    </row>
    <row r="9" spans="1:15" ht="16.5" x14ac:dyDescent="0.3">
      <c r="A9" s="1">
        <v>1</v>
      </c>
      <c r="B9" s="1" t="str">
        <f t="shared" si="0"/>
        <v/>
      </c>
      <c r="C9" s="1"/>
      <c r="D9" s="1" t="str">
        <f t="shared" si="1"/>
        <v/>
      </c>
      <c r="E9" s="1"/>
      <c r="F9" s="1" t="str">
        <f t="shared" si="2"/>
        <v/>
      </c>
      <c r="G9" s="1"/>
      <c r="H9" s="1" t="str">
        <f t="shared" si="3"/>
        <v/>
      </c>
      <c r="I9" s="1"/>
      <c r="J9" s="1">
        <f t="shared" si="4"/>
        <v>416</v>
      </c>
      <c r="K9" s="1" t="s">
        <v>36</v>
      </c>
    </row>
    <row r="10" spans="1:15" x14ac:dyDescent="0.4">
      <c r="A10" s="1">
        <v>1</v>
      </c>
      <c r="B10" s="1" t="str">
        <f t="shared" si="0"/>
        <v/>
      </c>
      <c r="C10" s="1"/>
      <c r="D10" s="1" t="str">
        <f t="shared" si="1"/>
        <v/>
      </c>
      <c r="E10" s="1"/>
      <c r="F10" s="1" t="str">
        <f t="shared" si="2"/>
        <v/>
      </c>
      <c r="G10" s="1"/>
      <c r="H10" s="1" t="str">
        <f t="shared" si="3"/>
        <v/>
      </c>
      <c r="I10" s="1"/>
      <c r="J10" s="1">
        <f t="shared" si="4"/>
        <v>416</v>
      </c>
      <c r="K10" s="1" t="s">
        <v>36</v>
      </c>
      <c r="M10" t="s">
        <v>2</v>
      </c>
      <c r="N10" t="s">
        <v>26</v>
      </c>
      <c r="O10" t="s">
        <v>22</v>
      </c>
    </row>
    <row r="11" spans="1:15" x14ac:dyDescent="0.4">
      <c r="A11" s="1">
        <v>1</v>
      </c>
      <c r="B11" s="1" t="str">
        <f t="shared" si="0"/>
        <v/>
      </c>
      <c r="C11" s="1"/>
      <c r="D11" s="1" t="str">
        <f t="shared" si="1"/>
        <v/>
      </c>
      <c r="E11" s="1"/>
      <c r="F11" s="1" t="str">
        <f t="shared" si="2"/>
        <v/>
      </c>
      <c r="G11" s="1"/>
      <c r="H11" s="1" t="str">
        <f t="shared" si="3"/>
        <v/>
      </c>
      <c r="I11" s="1"/>
      <c r="J11" s="1">
        <f t="shared" si="4"/>
        <v>416</v>
      </c>
      <c r="K11" s="1" t="s">
        <v>36</v>
      </c>
      <c r="N11" t="s">
        <v>27</v>
      </c>
      <c r="O11" t="s">
        <v>23</v>
      </c>
    </row>
    <row r="12" spans="1:15" x14ac:dyDescent="0.4">
      <c r="A12" s="1">
        <v>1</v>
      </c>
      <c r="B12" s="1">
        <f t="shared" si="0"/>
        <v>32</v>
      </c>
      <c r="C12" s="1" t="s">
        <v>35</v>
      </c>
      <c r="D12" s="1" t="str">
        <f t="shared" si="1"/>
        <v/>
      </c>
      <c r="E12" s="1"/>
      <c r="F12" s="1" t="str">
        <f t="shared" si="2"/>
        <v/>
      </c>
      <c r="G12" s="1"/>
      <c r="H12" s="1" t="str">
        <f t="shared" si="3"/>
        <v/>
      </c>
      <c r="I12" s="1"/>
      <c r="J12" s="1" t="str">
        <f t="shared" si="4"/>
        <v/>
      </c>
      <c r="K12" s="1"/>
      <c r="N12" t="s">
        <v>28</v>
      </c>
      <c r="O12" t="s">
        <v>24</v>
      </c>
    </row>
    <row r="13" spans="1:15" x14ac:dyDescent="0.4">
      <c r="A13" s="1">
        <v>1</v>
      </c>
      <c r="B13" s="1">
        <f t="shared" si="0"/>
        <v>32</v>
      </c>
      <c r="C13" s="1" t="s">
        <v>35</v>
      </c>
      <c r="D13" s="1" t="str">
        <f t="shared" si="1"/>
        <v/>
      </c>
      <c r="E13" s="1"/>
      <c r="F13" s="1" t="str">
        <f t="shared" si="2"/>
        <v/>
      </c>
      <c r="G13" s="1"/>
      <c r="H13" s="1" t="str">
        <f t="shared" si="3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4">
      <c r="A14" s="1">
        <v>1</v>
      </c>
      <c r="B14" s="1">
        <f t="shared" si="0"/>
        <v>32</v>
      </c>
      <c r="C14" s="1" t="s">
        <v>35</v>
      </c>
      <c r="D14" s="1" t="str">
        <f t="shared" si="1"/>
        <v/>
      </c>
      <c r="E14" s="1"/>
      <c r="F14" s="1">
        <f t="shared" si="2"/>
        <v>224</v>
      </c>
      <c r="G14" s="1" t="s">
        <v>4</v>
      </c>
      <c r="H14" s="1" t="str">
        <f t="shared" si="3"/>
        <v/>
      </c>
      <c r="I14" s="1"/>
      <c r="J14" s="1">
        <f t="shared" si="4"/>
        <v>416</v>
      </c>
      <c r="K14" s="1" t="s">
        <v>4</v>
      </c>
      <c r="N14" t="s">
        <v>30</v>
      </c>
      <c r="O14" t="s">
        <v>31</v>
      </c>
    </row>
    <row r="15" spans="1:15" ht="16.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34</v>
      </c>
    </row>
    <row r="16" spans="1:15" x14ac:dyDescent="0.4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34</v>
      </c>
      <c r="M16" t="s">
        <v>32</v>
      </c>
    </row>
    <row r="17" spans="1:13" x14ac:dyDescent="0.4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34</v>
      </c>
      <c r="M17">
        <f>SUM(A:A)</f>
        <v>32.5</v>
      </c>
    </row>
    <row r="18" spans="1:13" x14ac:dyDescent="0.4">
      <c r="A18" s="1">
        <v>1</v>
      </c>
      <c r="B18" s="1">
        <f t="shared" si="0"/>
        <v>32</v>
      </c>
      <c r="C18" s="1" t="s">
        <v>33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x14ac:dyDescent="0.4">
      <c r="A19" s="1">
        <v>1</v>
      </c>
      <c r="B19" s="1">
        <f t="shared" si="0"/>
        <v>32</v>
      </c>
      <c r="C19" s="1" t="s">
        <v>33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x14ac:dyDescent="0.4">
      <c r="A20" s="1">
        <v>1</v>
      </c>
      <c r="B20" s="1">
        <f t="shared" si="0"/>
        <v>32</v>
      </c>
      <c r="C20" s="1" t="s">
        <v>33</v>
      </c>
      <c r="D20" s="1" t="str">
        <f t="shared" si="1"/>
        <v/>
      </c>
      <c r="E20" s="1"/>
      <c r="F20" s="1">
        <f t="shared" si="2"/>
        <v>224</v>
      </c>
      <c r="G20" s="1" t="s">
        <v>4</v>
      </c>
      <c r="H20" s="1" t="str">
        <f t="shared" si="3"/>
        <v/>
      </c>
      <c r="I20" s="1"/>
      <c r="J20" s="1">
        <f t="shared" si="4"/>
        <v>416</v>
      </c>
      <c r="K20" s="1" t="s">
        <v>4</v>
      </c>
    </row>
    <row r="21" spans="1:13" x14ac:dyDescent="0.4">
      <c r="A21" s="1">
        <v>2</v>
      </c>
      <c r="B21" s="1">
        <f t="shared" si="0"/>
        <v>32</v>
      </c>
      <c r="C21" s="1" t="s">
        <v>4</v>
      </c>
      <c r="D21" s="1">
        <f t="shared" si="1"/>
        <v>128</v>
      </c>
      <c r="E21" s="1" t="s">
        <v>2</v>
      </c>
      <c r="F21" s="1">
        <f t="shared" si="2"/>
        <v>224</v>
      </c>
      <c r="G21" s="1" t="s">
        <v>4</v>
      </c>
      <c r="H21" s="1">
        <f t="shared" si="3"/>
        <v>320</v>
      </c>
      <c r="I21" s="1" t="s">
        <v>2</v>
      </c>
      <c r="J21" s="1">
        <f t="shared" si="4"/>
        <v>416</v>
      </c>
      <c r="K21" s="1" t="s">
        <v>4</v>
      </c>
    </row>
    <row r="22" spans="1:13" x14ac:dyDescent="0.4">
      <c r="A22" s="1">
        <v>2</v>
      </c>
      <c r="B22" s="1" t="str">
        <f t="shared" si="0"/>
        <v/>
      </c>
      <c r="C22" s="1"/>
      <c r="D22" s="1">
        <f t="shared" si="1"/>
        <v>128</v>
      </c>
      <c r="E22" s="1" t="s">
        <v>4</v>
      </c>
      <c r="F22" s="1" t="str">
        <f t="shared" si="2"/>
        <v/>
      </c>
      <c r="G22" s="1"/>
      <c r="H22" s="1">
        <f t="shared" si="3"/>
        <v>320</v>
      </c>
      <c r="I22" s="1" t="s">
        <v>4</v>
      </c>
      <c r="J22" s="1" t="str">
        <f t="shared" si="4"/>
        <v/>
      </c>
      <c r="K22" s="1"/>
    </row>
    <row r="23" spans="1:13" ht="16.5" x14ac:dyDescent="0.3">
      <c r="A23" s="1">
        <v>2</v>
      </c>
      <c r="B23" s="1">
        <f t="shared" si="0"/>
        <v>32</v>
      </c>
      <c r="C23" s="1" t="s">
        <v>4</v>
      </c>
      <c r="D23" s="1" t="str">
        <f t="shared" si="1"/>
        <v/>
      </c>
      <c r="E23" s="1"/>
      <c r="F23" s="1">
        <f t="shared" si="2"/>
        <v>224</v>
      </c>
      <c r="G23" s="1" t="s">
        <v>4</v>
      </c>
      <c r="H23" s="1" t="str">
        <f t="shared" si="3"/>
        <v/>
      </c>
      <c r="I23" s="1"/>
      <c r="J23" s="1">
        <f t="shared" si="4"/>
        <v>416</v>
      </c>
      <c r="K23" s="1" t="s">
        <v>4</v>
      </c>
    </row>
    <row r="24" spans="1:13" ht="16.5" x14ac:dyDescent="0.3">
      <c r="A24" s="1">
        <v>0.5</v>
      </c>
      <c r="B24" s="1" t="str">
        <f t="shared" si="0"/>
        <v/>
      </c>
      <c r="C24" s="1"/>
      <c r="D24" s="1">
        <f t="shared" si="1"/>
        <v>128</v>
      </c>
      <c r="E24" s="1" t="s">
        <v>37</v>
      </c>
      <c r="F24" s="1" t="str">
        <f t="shared" si="2"/>
        <v/>
      </c>
      <c r="G24" s="1"/>
      <c r="H24" s="1">
        <f t="shared" si="3"/>
        <v>320</v>
      </c>
      <c r="I24" s="1" t="s">
        <v>4</v>
      </c>
      <c r="J24" s="1" t="str">
        <f t="shared" si="4"/>
        <v/>
      </c>
      <c r="K24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F2" sqref="F2:G17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</cols>
  <sheetData>
    <row r="1" spans="1:1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x14ac:dyDescent="0.3">
      <c r="A2" s="1">
        <v>0.5</v>
      </c>
      <c r="B2" s="1"/>
      <c r="C2" s="1"/>
      <c r="D2" s="1"/>
      <c r="E2" s="1"/>
      <c r="F2" s="1">
        <v>240</v>
      </c>
      <c r="G2" s="1" t="s">
        <v>4</v>
      </c>
      <c r="H2" s="1"/>
      <c r="I2" s="1"/>
      <c r="J2" s="1">
        <v>432</v>
      </c>
      <c r="K2" s="1" t="s">
        <v>0</v>
      </c>
    </row>
    <row r="3" spans="1:11" x14ac:dyDescent="0.3">
      <c r="A3" s="1">
        <v>1</v>
      </c>
      <c r="B3" s="1">
        <v>48</v>
      </c>
      <c r="C3" s="1" t="s">
        <v>1</v>
      </c>
      <c r="D3" s="1"/>
      <c r="E3" s="1"/>
      <c r="F3" s="1">
        <v>240</v>
      </c>
      <c r="G3" s="1" t="s">
        <v>4</v>
      </c>
      <c r="H3" s="1"/>
      <c r="I3" s="1"/>
      <c r="J3" s="1"/>
      <c r="K3" s="1"/>
    </row>
    <row r="4" spans="1:11" x14ac:dyDescent="0.3">
      <c r="A4" s="1">
        <v>0.1</v>
      </c>
      <c r="B4" s="1"/>
      <c r="C4" s="1"/>
      <c r="D4" s="1"/>
      <c r="E4" s="1"/>
      <c r="F4" s="1">
        <v>240</v>
      </c>
      <c r="G4" s="1" t="s">
        <v>4</v>
      </c>
      <c r="H4" s="1"/>
      <c r="I4" s="1"/>
      <c r="J4" s="1">
        <v>432</v>
      </c>
      <c r="K4" s="1" t="s">
        <v>2</v>
      </c>
    </row>
    <row r="5" spans="1:11" x14ac:dyDescent="0.3">
      <c r="A5" s="1">
        <v>0.1</v>
      </c>
      <c r="B5" s="1"/>
      <c r="C5" s="1"/>
      <c r="D5" s="1"/>
      <c r="E5" s="1"/>
      <c r="F5" s="1">
        <v>240</v>
      </c>
      <c r="G5" s="1" t="s">
        <v>4</v>
      </c>
      <c r="H5" s="1"/>
      <c r="I5" s="1"/>
      <c r="J5" s="1">
        <v>432</v>
      </c>
      <c r="K5" s="1" t="s">
        <v>2</v>
      </c>
    </row>
    <row r="6" spans="1:11" x14ac:dyDescent="0.3">
      <c r="A6" s="1">
        <v>0.1</v>
      </c>
      <c r="B6" s="1"/>
      <c r="C6" s="1"/>
      <c r="D6" s="1"/>
      <c r="E6" s="1"/>
      <c r="F6" s="1">
        <v>240</v>
      </c>
      <c r="G6" s="1" t="s">
        <v>4</v>
      </c>
      <c r="H6" s="1"/>
      <c r="I6" s="1"/>
      <c r="J6" s="1">
        <v>432</v>
      </c>
      <c r="K6" s="1" t="s">
        <v>2</v>
      </c>
    </row>
    <row r="7" spans="1:11" x14ac:dyDescent="0.3">
      <c r="A7" s="1">
        <v>0.1</v>
      </c>
      <c r="B7" s="1">
        <v>48</v>
      </c>
      <c r="C7" s="1" t="s">
        <v>2</v>
      </c>
      <c r="D7" s="1"/>
      <c r="E7" s="1"/>
      <c r="F7" s="1">
        <v>240</v>
      </c>
      <c r="G7" s="1" t="s">
        <v>4</v>
      </c>
      <c r="H7" s="1"/>
      <c r="I7" s="1"/>
      <c r="J7" s="1"/>
      <c r="K7" s="1"/>
    </row>
    <row r="8" spans="1:11" x14ac:dyDescent="0.3">
      <c r="A8" s="1">
        <v>0.1</v>
      </c>
      <c r="B8" s="1">
        <v>48</v>
      </c>
      <c r="C8" s="1" t="s">
        <v>2</v>
      </c>
      <c r="D8" s="1"/>
      <c r="E8" s="1"/>
      <c r="F8" s="1">
        <v>240</v>
      </c>
      <c r="G8" s="1" t="s">
        <v>4</v>
      </c>
      <c r="H8" s="1"/>
      <c r="I8" s="1"/>
      <c r="J8" s="1">
        <v>432</v>
      </c>
      <c r="K8" s="1" t="s">
        <v>2</v>
      </c>
    </row>
    <row r="9" spans="1:11" x14ac:dyDescent="0.3">
      <c r="A9" s="1">
        <v>1</v>
      </c>
      <c r="B9" s="1">
        <v>48</v>
      </c>
      <c r="C9" s="1" t="s">
        <v>2</v>
      </c>
      <c r="D9" s="1"/>
      <c r="E9" s="1"/>
      <c r="F9" s="1">
        <v>240</v>
      </c>
      <c r="G9" s="1" t="s">
        <v>4</v>
      </c>
      <c r="H9" s="1"/>
      <c r="I9" s="1"/>
      <c r="J9" s="1"/>
      <c r="K9" s="1"/>
    </row>
    <row r="10" spans="1:11" x14ac:dyDescent="0.3">
      <c r="A10" s="1">
        <v>1</v>
      </c>
      <c r="B10" s="1"/>
      <c r="C10" s="1"/>
      <c r="D10" s="1">
        <v>144</v>
      </c>
      <c r="E10" s="1" t="s">
        <v>3</v>
      </c>
      <c r="F10" s="1">
        <v>240</v>
      </c>
      <c r="G10" s="1" t="s">
        <v>4</v>
      </c>
      <c r="H10" s="1">
        <v>336</v>
      </c>
      <c r="I10" s="1" t="s">
        <v>3</v>
      </c>
      <c r="J10" s="1"/>
      <c r="K10" s="1"/>
    </row>
    <row r="11" spans="1:11" x14ac:dyDescent="0.3">
      <c r="A11" s="1">
        <v>1</v>
      </c>
      <c r="B11" s="1">
        <v>48</v>
      </c>
      <c r="C11" s="1" t="s">
        <v>4</v>
      </c>
      <c r="D11" s="1"/>
      <c r="E11" s="1"/>
      <c r="F11" s="1">
        <v>240</v>
      </c>
      <c r="G11" s="1" t="s">
        <v>4</v>
      </c>
      <c r="H11" s="1"/>
      <c r="I11" s="1"/>
      <c r="J11" s="1">
        <v>432</v>
      </c>
      <c r="K11" s="1" t="s">
        <v>4</v>
      </c>
    </row>
    <row r="12" spans="1:11" x14ac:dyDescent="0.3">
      <c r="A12" s="1">
        <v>0.1</v>
      </c>
      <c r="B12" s="1"/>
      <c r="C12" s="1"/>
      <c r="D12" s="1"/>
      <c r="E12" s="1"/>
      <c r="F12" s="1">
        <v>240</v>
      </c>
      <c r="G12" s="1" t="s">
        <v>4</v>
      </c>
      <c r="H12" s="1"/>
      <c r="I12" s="1"/>
      <c r="J12" s="1">
        <v>432</v>
      </c>
      <c r="K12" s="1" t="s">
        <v>5</v>
      </c>
    </row>
    <row r="13" spans="1:11" x14ac:dyDescent="0.3">
      <c r="A13" s="1">
        <v>0.1</v>
      </c>
      <c r="B13" s="1"/>
      <c r="C13" s="1"/>
      <c r="D13" s="1"/>
      <c r="E13" s="1"/>
      <c r="F13" s="1">
        <v>240</v>
      </c>
      <c r="G13" s="1" t="s">
        <v>4</v>
      </c>
      <c r="H13" s="1"/>
      <c r="I13" s="1"/>
      <c r="J13" s="1">
        <v>432</v>
      </c>
      <c r="K13" s="1" t="s">
        <v>5</v>
      </c>
    </row>
    <row r="14" spans="1:11" x14ac:dyDescent="0.3">
      <c r="A14" s="1">
        <v>0.1</v>
      </c>
      <c r="B14" s="1"/>
      <c r="C14" s="1"/>
      <c r="D14" s="1"/>
      <c r="E14" s="1"/>
      <c r="F14" s="1">
        <v>240</v>
      </c>
      <c r="G14" s="1" t="s">
        <v>4</v>
      </c>
      <c r="H14" s="1"/>
      <c r="I14" s="1"/>
      <c r="J14" s="1">
        <v>432</v>
      </c>
      <c r="K14" s="1" t="s">
        <v>5</v>
      </c>
    </row>
    <row r="15" spans="1:11" x14ac:dyDescent="0.3">
      <c r="A15" s="1">
        <v>0.1</v>
      </c>
      <c r="B15" s="1">
        <v>48</v>
      </c>
      <c r="C15" s="1" t="s">
        <v>5</v>
      </c>
      <c r="D15" s="1"/>
      <c r="E15" s="1"/>
      <c r="F15" s="1">
        <v>240</v>
      </c>
      <c r="G15" s="1" t="s">
        <v>4</v>
      </c>
      <c r="H15" s="1"/>
      <c r="I15" s="1"/>
      <c r="J15" s="1"/>
      <c r="K15" s="1"/>
    </row>
    <row r="16" spans="1:11" x14ac:dyDescent="0.3">
      <c r="A16" s="1">
        <v>0.1</v>
      </c>
      <c r="B16" s="1">
        <v>48</v>
      </c>
      <c r="C16" s="1" t="s">
        <v>5</v>
      </c>
      <c r="D16" s="1"/>
      <c r="E16" s="1"/>
      <c r="F16" s="1">
        <v>240</v>
      </c>
      <c r="G16" s="1" t="s">
        <v>4</v>
      </c>
      <c r="H16" s="1"/>
      <c r="I16" s="1"/>
      <c r="J16" s="1">
        <v>432</v>
      </c>
      <c r="K16" s="1" t="s">
        <v>2</v>
      </c>
    </row>
    <row r="17" spans="1:11" x14ac:dyDescent="0.4">
      <c r="A17" s="1">
        <v>1</v>
      </c>
      <c r="B17" s="1">
        <v>48</v>
      </c>
      <c r="C17" s="1" t="s">
        <v>5</v>
      </c>
      <c r="D17" s="1"/>
      <c r="E17" s="1"/>
      <c r="F17" s="1">
        <v>240</v>
      </c>
      <c r="G17" s="1" t="s">
        <v>4</v>
      </c>
      <c r="H17" s="1"/>
      <c r="I17" s="1"/>
      <c r="J17" s="1"/>
      <c r="K17" s="1"/>
    </row>
    <row r="18" spans="1:11" x14ac:dyDescent="0.4">
      <c r="A18" s="1">
        <v>0.5</v>
      </c>
      <c r="B18" s="1">
        <v>48</v>
      </c>
      <c r="C18" s="1" t="s">
        <v>5</v>
      </c>
      <c r="D18" s="1">
        <v>144</v>
      </c>
      <c r="E18" s="1" t="s">
        <v>5</v>
      </c>
      <c r="F18" s="1">
        <v>240</v>
      </c>
      <c r="G18" s="1" t="s">
        <v>4</v>
      </c>
      <c r="H18" s="1">
        <v>336</v>
      </c>
      <c r="I18" s="1" t="s">
        <v>4</v>
      </c>
      <c r="J18" s="1">
        <v>432</v>
      </c>
      <c r="K18" s="1" t="s">
        <v>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24"/>
  <sheetViews>
    <sheetView workbookViewId="0">
      <selection activeCell="E22" sqref="E22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5" x14ac:dyDescent="0.3">
      <c r="A2" s="1">
        <v>0.5</v>
      </c>
      <c r="B2" s="1">
        <f t="shared" ref="B2:B24" si="0">IF(C2&lt;&gt;"",$N$3,"")</f>
        <v>32</v>
      </c>
      <c r="C2" s="1" t="s">
        <v>40</v>
      </c>
      <c r="D2" s="1" t="str">
        <f t="shared" ref="D2:D24" si="1">IF(E2&lt;&gt;"",$N$4,"")</f>
        <v/>
      </c>
      <c r="E2" s="1"/>
      <c r="F2" s="1">
        <f t="shared" ref="F2:F24" si="2">IF(G2&lt;&gt;"",$N$5,"")</f>
        <v>224</v>
      </c>
      <c r="G2" s="1" t="s">
        <v>40</v>
      </c>
      <c r="H2" s="1" t="str">
        <f t="shared" ref="H2:H24" si="3">IF(I2&lt;&gt;"",$N$6,"")</f>
        <v/>
      </c>
      <c r="I2" s="1"/>
      <c r="J2" s="1">
        <f t="shared" ref="J2:J24" si="4">IF(K2&lt;&gt;"",$N$7,"")</f>
        <v>416</v>
      </c>
      <c r="K2" s="1" t="s">
        <v>40</v>
      </c>
    </row>
    <row r="3" spans="1:15" ht="16.5" x14ac:dyDescent="0.3">
      <c r="A3" s="1">
        <v>0.5</v>
      </c>
      <c r="B3" s="1" t="str">
        <f t="shared" si="0"/>
        <v/>
      </c>
      <c r="C3" s="1"/>
      <c r="D3" s="1">
        <f t="shared" si="1"/>
        <v>128</v>
      </c>
      <c r="E3" s="1" t="s">
        <v>40</v>
      </c>
      <c r="F3" s="1" t="str">
        <f t="shared" si="2"/>
        <v/>
      </c>
      <c r="G3" s="1"/>
      <c r="H3" s="1">
        <f t="shared" si="3"/>
        <v>320</v>
      </c>
      <c r="I3" s="1" t="s">
        <v>40</v>
      </c>
      <c r="J3" s="1" t="str">
        <f t="shared" si="4"/>
        <v/>
      </c>
      <c r="K3" s="1"/>
      <c r="M3" s="1" t="s">
        <v>17</v>
      </c>
      <c r="N3" s="1">
        <v>32</v>
      </c>
    </row>
    <row r="4" spans="1:15" ht="16.5" x14ac:dyDescent="0.3">
      <c r="A4" s="1">
        <v>0.5</v>
      </c>
      <c r="B4" s="1">
        <f t="shared" si="0"/>
        <v>32</v>
      </c>
      <c r="C4" s="1" t="s">
        <v>40</v>
      </c>
      <c r="D4" s="1" t="str">
        <f t="shared" si="1"/>
        <v/>
      </c>
      <c r="E4" s="1"/>
      <c r="F4" s="1">
        <f t="shared" si="2"/>
        <v>224</v>
      </c>
      <c r="G4" s="1" t="s">
        <v>40</v>
      </c>
      <c r="H4" s="1" t="str">
        <f t="shared" si="3"/>
        <v/>
      </c>
      <c r="I4" s="1"/>
      <c r="J4" s="1">
        <f t="shared" si="4"/>
        <v>416</v>
      </c>
      <c r="K4" s="1" t="s">
        <v>40</v>
      </c>
      <c r="M4" s="1" t="s">
        <v>18</v>
      </c>
      <c r="N4" s="1">
        <f>N3+96</f>
        <v>128</v>
      </c>
    </row>
    <row r="5" spans="1:15" ht="16.5" x14ac:dyDescent="0.3">
      <c r="A5" s="1">
        <v>0.5</v>
      </c>
      <c r="B5" s="1">
        <f t="shared" si="0"/>
        <v>32</v>
      </c>
      <c r="C5" s="1" t="s">
        <v>38</v>
      </c>
      <c r="D5" s="1">
        <f t="shared" si="1"/>
        <v>128</v>
      </c>
      <c r="E5" s="1" t="s">
        <v>40</v>
      </c>
      <c r="F5" s="1">
        <f t="shared" si="2"/>
        <v>224</v>
      </c>
      <c r="G5" s="1" t="s">
        <v>38</v>
      </c>
      <c r="H5" s="1">
        <f t="shared" si="3"/>
        <v>320</v>
      </c>
      <c r="I5" s="1" t="s">
        <v>40</v>
      </c>
      <c r="J5" s="1">
        <f t="shared" si="4"/>
        <v>416</v>
      </c>
      <c r="K5" s="1" t="s">
        <v>38</v>
      </c>
      <c r="M5" s="1" t="s">
        <v>19</v>
      </c>
      <c r="N5" s="1">
        <f t="shared" ref="N5:N7" si="5">N4+96</f>
        <v>224</v>
      </c>
    </row>
    <row r="6" spans="1:15" ht="16.5" x14ac:dyDescent="0.3">
      <c r="A6" s="1">
        <v>0.5</v>
      </c>
      <c r="B6" s="1" t="str">
        <f t="shared" si="0"/>
        <v/>
      </c>
      <c r="C6" s="1"/>
      <c r="D6" s="1">
        <f t="shared" si="1"/>
        <v>128</v>
      </c>
      <c r="E6" s="1" t="s">
        <v>38</v>
      </c>
      <c r="F6" s="1" t="str">
        <f t="shared" si="2"/>
        <v/>
      </c>
      <c r="G6" s="1"/>
      <c r="H6" s="1">
        <f t="shared" si="3"/>
        <v>320</v>
      </c>
      <c r="I6" s="1" t="s">
        <v>38</v>
      </c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ht="16.5" x14ac:dyDescent="0.3">
      <c r="A7" s="1">
        <v>0.5</v>
      </c>
      <c r="B7" s="1">
        <f t="shared" si="0"/>
        <v>32</v>
      </c>
      <c r="C7" s="1" t="s">
        <v>38</v>
      </c>
      <c r="D7" s="1" t="str">
        <f t="shared" si="1"/>
        <v/>
      </c>
      <c r="E7" s="1"/>
      <c r="F7" s="1">
        <f t="shared" si="2"/>
        <v>224</v>
      </c>
      <c r="G7" s="1" t="s">
        <v>38</v>
      </c>
      <c r="H7" s="1" t="str">
        <f t="shared" si="3"/>
        <v/>
      </c>
      <c r="I7" s="1"/>
      <c r="J7" s="1">
        <f t="shared" si="4"/>
        <v>416</v>
      </c>
      <c r="K7" s="1" t="s">
        <v>38</v>
      </c>
      <c r="M7" s="1" t="s">
        <v>21</v>
      </c>
      <c r="N7" s="1">
        <f t="shared" si="5"/>
        <v>416</v>
      </c>
    </row>
    <row r="8" spans="1:15" ht="16.5" x14ac:dyDescent="0.3">
      <c r="A8" s="1">
        <v>0.5</v>
      </c>
      <c r="B8" s="1" t="str">
        <f t="shared" si="0"/>
        <v/>
      </c>
      <c r="C8" s="1"/>
      <c r="D8" s="1">
        <f t="shared" si="1"/>
        <v>128</v>
      </c>
      <c r="E8" s="1" t="s">
        <v>40</v>
      </c>
      <c r="F8" s="1" t="str">
        <f t="shared" si="2"/>
        <v/>
      </c>
      <c r="G8" s="1"/>
      <c r="H8" s="1">
        <f t="shared" si="3"/>
        <v>320</v>
      </c>
      <c r="I8" s="1" t="s">
        <v>40</v>
      </c>
      <c r="J8" s="1" t="str">
        <f t="shared" si="4"/>
        <v/>
      </c>
      <c r="K8" s="1"/>
    </row>
    <row r="9" spans="1:15" ht="16.5" x14ac:dyDescent="0.3">
      <c r="A9" s="1">
        <v>0.5</v>
      </c>
      <c r="B9" s="1" t="str">
        <f t="shared" si="0"/>
        <v/>
      </c>
      <c r="C9" s="1"/>
      <c r="D9" s="1" t="str">
        <f t="shared" si="1"/>
        <v/>
      </c>
      <c r="E9" s="1"/>
      <c r="F9" s="1" t="str">
        <f t="shared" si="2"/>
        <v/>
      </c>
      <c r="G9" s="1"/>
      <c r="H9" s="1" t="str">
        <f t="shared" si="3"/>
        <v/>
      </c>
      <c r="I9" s="1"/>
      <c r="J9" s="1">
        <f t="shared" si="4"/>
        <v>416</v>
      </c>
      <c r="K9" s="1" t="s">
        <v>42</v>
      </c>
    </row>
    <row r="10" spans="1:15" x14ac:dyDescent="0.4">
      <c r="A10" s="1">
        <v>0.5</v>
      </c>
      <c r="B10" s="1" t="str">
        <f t="shared" si="0"/>
        <v/>
      </c>
      <c r="C10" s="1"/>
      <c r="D10" s="1" t="str">
        <f t="shared" si="1"/>
        <v/>
      </c>
      <c r="E10" s="1"/>
      <c r="F10" s="1" t="str">
        <f t="shared" si="2"/>
        <v/>
      </c>
      <c r="G10" s="1"/>
      <c r="H10" s="1" t="str">
        <f t="shared" si="3"/>
        <v/>
      </c>
      <c r="I10" s="1"/>
      <c r="J10" s="1">
        <f>J9-32</f>
        <v>384</v>
      </c>
      <c r="K10" s="1" t="s">
        <v>42</v>
      </c>
      <c r="M10" t="s">
        <v>40</v>
      </c>
      <c r="N10" t="s">
        <v>26</v>
      </c>
      <c r="O10" t="s">
        <v>22</v>
      </c>
    </row>
    <row r="11" spans="1:15" x14ac:dyDescent="0.4">
      <c r="A11" s="1">
        <v>0.5</v>
      </c>
      <c r="B11" s="1" t="str">
        <f t="shared" si="0"/>
        <v/>
      </c>
      <c r="C11" s="1"/>
      <c r="D11" s="1" t="str">
        <f t="shared" si="1"/>
        <v/>
      </c>
      <c r="E11" s="1"/>
      <c r="F11" s="1" t="str">
        <f t="shared" si="2"/>
        <v/>
      </c>
      <c r="G11" s="1"/>
      <c r="H11" s="1" t="str">
        <f t="shared" si="3"/>
        <v/>
      </c>
      <c r="I11" s="1"/>
      <c r="J11" s="1">
        <f>J10-32</f>
        <v>352</v>
      </c>
      <c r="K11" s="1" t="s">
        <v>42</v>
      </c>
      <c r="N11" t="s">
        <v>27</v>
      </c>
      <c r="O11" t="s">
        <v>23</v>
      </c>
    </row>
    <row r="12" spans="1:15" x14ac:dyDescent="0.4">
      <c r="A12" s="1">
        <v>0.5</v>
      </c>
      <c r="B12" s="1">
        <v>96</v>
      </c>
      <c r="C12" s="1" t="s">
        <v>43</v>
      </c>
      <c r="D12" s="1" t="str">
        <f t="shared" si="1"/>
        <v/>
      </c>
      <c r="E12" s="1"/>
      <c r="F12" s="1" t="str">
        <f t="shared" si="2"/>
        <v/>
      </c>
      <c r="G12" s="1"/>
      <c r="H12" s="1" t="str">
        <f t="shared" si="3"/>
        <v/>
      </c>
      <c r="I12" s="1"/>
      <c r="J12" s="1" t="str">
        <f t="shared" si="4"/>
        <v/>
      </c>
      <c r="K12" s="1"/>
      <c r="N12" t="s">
        <v>28</v>
      </c>
      <c r="O12" t="s">
        <v>24</v>
      </c>
    </row>
    <row r="13" spans="1:15" x14ac:dyDescent="0.4">
      <c r="A13" s="1">
        <v>0.5</v>
      </c>
      <c r="B13" s="1">
        <v>64</v>
      </c>
      <c r="C13" s="1" t="s">
        <v>43</v>
      </c>
      <c r="D13" s="1" t="str">
        <f t="shared" si="1"/>
        <v/>
      </c>
      <c r="E13" s="1"/>
      <c r="F13" s="1" t="str">
        <f t="shared" si="2"/>
        <v/>
      </c>
      <c r="G13" s="1"/>
      <c r="H13" s="1" t="str">
        <f t="shared" si="3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4">
      <c r="A14" s="1">
        <v>0.5</v>
      </c>
      <c r="B14" s="1">
        <f t="shared" si="0"/>
        <v>32</v>
      </c>
      <c r="C14" s="1" t="s">
        <v>43</v>
      </c>
      <c r="D14" s="1" t="str">
        <f t="shared" si="1"/>
        <v/>
      </c>
      <c r="E14" s="1"/>
      <c r="F14" s="1" t="str">
        <f t="shared" si="2"/>
        <v/>
      </c>
      <c r="G14" s="1"/>
      <c r="H14" s="1" t="str">
        <f t="shared" si="3"/>
        <v/>
      </c>
      <c r="I14" s="1"/>
      <c r="J14" s="1" t="str">
        <f t="shared" si="4"/>
        <v/>
      </c>
      <c r="K14" s="1"/>
      <c r="N14" t="s">
        <v>30</v>
      </c>
      <c r="O14" t="s">
        <v>41</v>
      </c>
    </row>
    <row r="15" spans="1:15" ht="16.5" x14ac:dyDescent="0.3">
      <c r="A15" s="1">
        <v>0.5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44</v>
      </c>
    </row>
    <row r="16" spans="1:15" x14ac:dyDescent="0.4">
      <c r="A16" s="1">
        <v>0.5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44</v>
      </c>
      <c r="M16" t="s">
        <v>32</v>
      </c>
    </row>
    <row r="17" spans="1:13" x14ac:dyDescent="0.4">
      <c r="A17" s="1">
        <v>0.5</v>
      </c>
      <c r="B17" s="1">
        <f t="shared" si="0"/>
        <v>32</v>
      </c>
      <c r="C17" s="1" t="s">
        <v>45</v>
      </c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44</v>
      </c>
      <c r="M17">
        <f>SUM(A:A)</f>
        <v>11</v>
      </c>
    </row>
    <row r="18" spans="1:13" x14ac:dyDescent="0.4">
      <c r="A18" s="1">
        <v>0.5</v>
      </c>
      <c r="B18" s="1">
        <f t="shared" si="0"/>
        <v>32</v>
      </c>
      <c r="C18" s="1" t="s">
        <v>45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x14ac:dyDescent="0.4">
      <c r="A19" s="1">
        <v>0.5</v>
      </c>
      <c r="B19" s="1">
        <f t="shared" si="0"/>
        <v>32</v>
      </c>
      <c r="C19" s="1" t="s">
        <v>45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x14ac:dyDescent="0.4">
      <c r="A20" s="1">
        <v>0.5</v>
      </c>
      <c r="B20" s="1">
        <f t="shared" si="0"/>
        <v>32</v>
      </c>
      <c r="C20" s="1" t="s">
        <v>38</v>
      </c>
      <c r="D20" s="1" t="str">
        <f t="shared" si="1"/>
        <v/>
      </c>
      <c r="E20" s="1"/>
      <c r="F20" s="1">
        <f t="shared" si="2"/>
        <v>224</v>
      </c>
      <c r="G20" s="1" t="s">
        <v>38</v>
      </c>
      <c r="H20" s="1" t="str">
        <f t="shared" si="3"/>
        <v/>
      </c>
      <c r="I20" s="1"/>
      <c r="J20" s="1">
        <f t="shared" si="4"/>
        <v>416</v>
      </c>
      <c r="K20" s="1" t="s">
        <v>38</v>
      </c>
    </row>
    <row r="21" spans="1:13" x14ac:dyDescent="0.4">
      <c r="A21" s="1">
        <v>0.5</v>
      </c>
      <c r="B21" s="1">
        <f t="shared" si="0"/>
        <v>32</v>
      </c>
      <c r="C21" s="1" t="s">
        <v>38</v>
      </c>
      <c r="D21" s="1">
        <f t="shared" si="1"/>
        <v>128</v>
      </c>
      <c r="E21" s="1" t="s">
        <v>40</v>
      </c>
      <c r="F21" s="1">
        <f t="shared" si="2"/>
        <v>224</v>
      </c>
      <c r="G21" s="1" t="s">
        <v>38</v>
      </c>
      <c r="H21" s="1">
        <f t="shared" si="3"/>
        <v>320</v>
      </c>
      <c r="I21" s="1" t="s">
        <v>40</v>
      </c>
      <c r="J21" s="1">
        <f t="shared" si="4"/>
        <v>416</v>
      </c>
      <c r="K21" s="1" t="s">
        <v>38</v>
      </c>
    </row>
    <row r="22" spans="1:13" x14ac:dyDescent="0.4">
      <c r="A22" s="1">
        <v>0.5</v>
      </c>
      <c r="B22" s="1" t="str">
        <f t="shared" si="0"/>
        <v/>
      </c>
      <c r="C22" s="1"/>
      <c r="D22" s="1">
        <f t="shared" si="1"/>
        <v>128</v>
      </c>
      <c r="E22" s="1" t="s">
        <v>38</v>
      </c>
      <c r="F22" s="1" t="str">
        <f t="shared" si="2"/>
        <v/>
      </c>
      <c r="G22" s="1"/>
      <c r="H22" s="1">
        <f t="shared" si="3"/>
        <v>320</v>
      </c>
      <c r="I22" s="1" t="s">
        <v>38</v>
      </c>
      <c r="J22" s="1" t="str">
        <f t="shared" si="4"/>
        <v/>
      </c>
      <c r="K22" s="1"/>
    </row>
    <row r="23" spans="1:13" ht="16.5" x14ac:dyDescent="0.3">
      <c r="A23" s="1">
        <v>0.5</v>
      </c>
      <c r="B23" s="1">
        <f t="shared" si="0"/>
        <v>32</v>
      </c>
      <c r="C23" s="1" t="s">
        <v>38</v>
      </c>
      <c r="D23" s="1" t="str">
        <f t="shared" si="1"/>
        <v/>
      </c>
      <c r="E23" s="1"/>
      <c r="F23" s="1">
        <f t="shared" si="2"/>
        <v>224</v>
      </c>
      <c r="G23" s="1" t="s">
        <v>38</v>
      </c>
      <c r="H23" s="1" t="str">
        <f t="shared" si="3"/>
        <v/>
      </c>
      <c r="I23" s="1"/>
      <c r="J23" s="1">
        <f t="shared" si="4"/>
        <v>416</v>
      </c>
      <c r="K23" s="1" t="s">
        <v>38</v>
      </c>
    </row>
    <row r="24" spans="1:13" ht="16.5" x14ac:dyDescent="0.3">
      <c r="A24" s="1">
        <v>0</v>
      </c>
      <c r="B24" s="1" t="str">
        <f t="shared" si="0"/>
        <v/>
      </c>
      <c r="C24" s="1"/>
      <c r="D24" s="1">
        <f t="shared" si="1"/>
        <v>128</v>
      </c>
      <c r="E24" s="1" t="s">
        <v>39</v>
      </c>
      <c r="F24" s="1" t="str">
        <f t="shared" si="2"/>
        <v/>
      </c>
      <c r="G24" s="1"/>
      <c r="H24" s="1">
        <f t="shared" si="3"/>
        <v>320</v>
      </c>
      <c r="I24" s="1" t="s">
        <v>38</v>
      </c>
      <c r="J24" s="1" t="str">
        <f t="shared" si="4"/>
        <v/>
      </c>
      <c r="K24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level1</vt:lpstr>
      <vt:lpstr>level2</vt:lpstr>
      <vt:lpstr>level3</vt:lpstr>
      <vt:lpstr>_level1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2019-08-31T06:05:29Z</dcterms:modified>
</cp:coreProperties>
</file>